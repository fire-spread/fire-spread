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NoAdmin-HP"/>
  <workbookPr/>
  <bookViews>
    <workbookView activeTab="0" xWindow="240" yWindow="60" windowWidth="0" windowHeight="0" tabRatio="199"/>
  </bookViews>
  <sheets>
    <sheet name="Parameter" sheetId="1" r:id="rId4"/>
    <sheet name="FIRE" sheetId="2" r:id="rId5"/>
    <sheet name="Historie" sheetId="3" r:id="rId6"/>
  </sheets>
  <definedNames>
    <definedName name="Param.Startjahr">Parameter!$F$6</definedName>
    <definedName name="Param.Startalter">Parameter!$F$8</definedName>
    <definedName name="Param.DeportwertStart">Parameter!$F$31</definedName>
    <definedName name="Param.SparrateDepotMonatl">Parameter!$F$18</definedName>
    <definedName name="Param.SparrateFestgeldMonatl">Parameter!$F$19</definedName>
    <definedName name="Param.DeportwertStartPerformAnteil">Parameter!$F$32</definedName>
    <definedName name="Param.Teilfreistellung">Parameter!$F$12</definedName>
    <definedName name="Param.FireStartjahr">Parameter!$F$9</definedName>
    <definedName name="Param.SonstigEinmaligBeschreib1">Parameter!$C$67</definedName>
    <definedName name="Param.SonstigEinmaligBeschreib2">Parameter!$C$68</definedName>
    <definedName name="Param.SonstigEinmaligBeschreib3">Parameter!$C$69</definedName>
    <definedName name="Param.SonstigEinmaligBeschreib4">Parameter!$C$70</definedName>
    <definedName name="Param.SonstigEinmaligBeschreib5">Parameter!$C$71</definedName>
    <definedName name="Param.SonstigEinmaligBeschreib6">Parameter!$C$72</definedName>
    <definedName name="Param.SonstigEinmaligBeschreib7">Parameter!$C$73</definedName>
    <definedName name="Param.SonstigEinmaligBeschreib8">Parameter!$C$74</definedName>
    <definedName name="Param.SonstigEinmaligBeschreib9">Parameter!$C$75</definedName>
    <definedName name="Param.SonstigEinmaligBeschreib10">Parameter!$C$76</definedName>
    <definedName name="Param.FestgeldStart">Parameter!$F$44</definedName>
    <definedName name="Param.FestgeldZinssatz">Parameter!$F$45</definedName>
    <definedName name="Param.SparerPauschbetrag">Parameter!$F$13</definedName>
    <definedName name="Param.SonstigEinmaligBetrag1">Parameter!$D$67</definedName>
    <definedName name="Param.SonstigEinmaligBetrag2">Parameter!$D$68</definedName>
    <definedName name="Param.SonstigEinmaligBetrag3">Parameter!$D$69</definedName>
    <definedName name="Param.SonstigEinmaligBetrag4">Parameter!$D$70</definedName>
    <definedName name="Param.SonstigEinmaligBetrag5">Parameter!$D$71</definedName>
    <definedName name="Param.SonstigEinmaligBetrag6">Parameter!$D$72</definedName>
    <definedName name="Param.SonstigEinmaligBetrag7">Parameter!$D$73</definedName>
    <definedName name="Param.SonstigEinmaligBetrag8">Parameter!$D$74</definedName>
    <definedName name="Param.SonstigEinmaligBetrag9">Parameter!$D$75</definedName>
    <definedName name="Param.SonstigEinmaligBetrag10">Parameter!$D$76</definedName>
    <definedName name="Param.SonstigEinmaligJahr1">Parameter!$E$67</definedName>
    <definedName name="Param.SonstigEinmaligJahr2">Parameter!$E$68</definedName>
    <definedName name="Param.SonstigEinmaligJahr3">Parameter!$E$69</definedName>
    <definedName name="Param.SonstigEinmaligJahr4">Parameter!$E$70</definedName>
    <definedName name="Param.SonstigEinmaligJahr5">Parameter!$E$71</definedName>
    <definedName name="Param.SonstigEinmaligJahr6">Parameter!$E$72</definedName>
    <definedName name="Param.SonstigEinmaligJahr7">Parameter!$E$73</definedName>
    <definedName name="Param.SonstigEinmaligJahr8">Parameter!$E$74</definedName>
    <definedName name="Param.SonstigEinmaligJahr9">Parameter!$E$75</definedName>
    <definedName name="Param.SonstigEinmaligJahr10">Parameter!$E$76</definedName>
    <definedName name="Param.SonstigRegelmJahrBeginn10">Parameter!$G$62</definedName>
    <definedName name="Param.SonstigRegelmBeschreib1">Parameter!$C$53</definedName>
    <definedName name="Param.SonstigRegelmBeschreib2">Parameter!$C$54</definedName>
    <definedName name="Param.SonstigRegelmBeschreib3">Parameter!$C$55</definedName>
    <definedName name="Param.SonstigRegelmBeschreib4">Parameter!$C$56</definedName>
    <definedName name="Param.SonstigRegelmBeschreib5">Parameter!$C$57</definedName>
    <definedName name="Param.SonstigRegelmBeschreib6">Parameter!$C$58</definedName>
    <definedName name="Param.SonstigRegelmBeschreib7">Parameter!$C$59</definedName>
    <definedName name="Param.SonstigRegelmBeschreib8">Parameter!$C$60</definedName>
    <definedName name="Param.SonstigRegelmBeschreib9">Parameter!$C$61</definedName>
    <definedName name="Param.SonstigRegelmBeschreib10">Parameter!$C$62</definedName>
    <definedName name="Param.SonstigRegelmBetragJaehrl1">Parameter!$E$53</definedName>
    <definedName name="Param.SonstigRegelmBetragJaehrl2">Parameter!$E$54</definedName>
    <definedName name="Param.SonstigRegelmBetragJaehrl3">Parameter!$E$55</definedName>
    <definedName name="Param.SonstigRegelmBetragJaehrl4">Parameter!$E$56</definedName>
    <definedName name="Param.SonstigRegelmBetragJaehrl5">Parameter!$E$57</definedName>
    <definedName name="Param.SonstigRegelmBetragJaehrl6">Parameter!$E$58</definedName>
    <definedName name="Param.SonstigRegelmBetragJaehrl7">Parameter!$E$59</definedName>
    <definedName name="Param.SonstigRegelmBetragJaehrl8">Parameter!$E$60</definedName>
    <definedName name="Param.SonstigRegelmBetragJaehrl9">Parameter!$E$61</definedName>
    <definedName name="Param.SonstigRegelmBetragJaehrl10">Parameter!$E$62</definedName>
    <definedName name="Param.SonstigRegelmSteig1">Parameter!$F$53</definedName>
    <definedName name="Param.SonstigRegelmSteig2">Parameter!$F$54</definedName>
    <definedName name="Param.SonstigRegelmSteig3">Parameter!$F$55</definedName>
    <definedName name="Param.SonstigRegelmSteig4">Parameter!$F$56</definedName>
    <definedName name="Param.SonstigRegelmSteig5">Parameter!$F$57</definedName>
    <definedName name="Param.SonstigRegelmSteig6">Parameter!$F$58</definedName>
    <definedName name="Param.SonstigRegelmSteig7">Parameter!$F$59</definedName>
    <definedName name="Param.SonstigRegelmSteig8">Parameter!$F$60</definedName>
    <definedName name="Param.SonstigRegelmSteig9">Parameter!$F$61</definedName>
    <definedName name="Param.SonstigRegelmSteig10">Parameter!$F$62</definedName>
    <definedName name="Param.SonstigRegelmJahrBeginn1">Parameter!$G$53</definedName>
    <definedName name="Param.SonstigRegelmJahrBeginn2">Parameter!$G$54</definedName>
    <definedName name="Param.SonstigRegelmJahrBeginn3">Parameter!$G$55</definedName>
    <definedName name="Param.SonstigRegelmJahrBeginn4">Parameter!$G$56</definedName>
    <definedName name="Param.SonstigRegelmJahrBeginn5">Parameter!$G$57</definedName>
    <definedName name="Param.SonstigRegelmJahrBeginn6">Parameter!$G$58</definedName>
    <definedName name="Param.SonstigRegelmJahrBeginn7">Parameter!$G$59</definedName>
    <definedName name="Param.SonstigRegelmJahrBeginn8">Parameter!$G$60</definedName>
    <definedName name="Param.SonstigRegelmJahrBeginn9">Parameter!$G$61</definedName>
    <definedName name="Param.SonstigRegelmJahrEnd1">Parameter!$H$53</definedName>
    <definedName name="Param.SonstigRegelmJahrEnd2">Parameter!$H$54</definedName>
    <definedName name="Param.SonstigRegelmJahrEnd3">Parameter!$H$55</definedName>
    <definedName name="Param.SonstigRegelmJahrEnd4">Parameter!$H$56</definedName>
    <definedName name="Param.SonstigRegelmJahrEnd5">Parameter!$H$57</definedName>
    <definedName name="Param.SonstigRegelmJahrEnd6">Parameter!$H$58</definedName>
    <definedName name="Param.SonstigRegelmJahrEnd7">Parameter!$H$59</definedName>
    <definedName name="Param.SonstigRegelmJahrEnd8">Parameter!$H$60</definedName>
    <definedName name="Param.SonstigRegelmJahrEnd9">Parameter!$H$61</definedName>
    <definedName name="Param.SonstigRegelmJahrEnd10">Parameter!$H$62</definedName>
    <definedName name="Param.Inflationsrate">Parameter!$F$15</definedName>
    <definedName name="Param.EntnahmeBetragStart">Parameter!$F$25</definedName>
    <definedName name="Param.KapSt">Parameter!$F$14</definedName>
    <definedName name="Param.Gesamtvermoegen">Parameter!$F$47</definedName>
    <definedName name="Param.DepotRenditeDefault">Parameter!$F$35</definedName>
    <definedName name="Param.DepotRenditeSpezBeginn1">Parameter!$D$37</definedName>
    <definedName name="Param.DepotRenditeSpezBeginn2">Parameter!$D$38</definedName>
    <definedName name="Param.DepotRenditeSpezBeginn3">Parameter!$D$39</definedName>
    <definedName name="Param.DepotRenditeSpezBeginn4">Parameter!$D$40</definedName>
    <definedName name="Param.DepotRenditeSpezBeginn5">Parameter!$D$41</definedName>
    <definedName name="Param.DepotRenditeSpezEnde1">Parameter!$E$37</definedName>
    <definedName name="Param.DepotRenditeSpezEnde2">Parameter!$E$38</definedName>
    <definedName name="Param.DepotRenditeSpezEnde3">Parameter!$E$39</definedName>
    <definedName name="Param.DepotRenditeSpezEnde4">Parameter!$E$40</definedName>
    <definedName name="Param.DepotRenditeSpezEnde5">Parameter!$E$41</definedName>
    <definedName name="Param.DepotRenditeSpezProz1">Parameter!$F$37</definedName>
    <definedName name="Param.DepotRenditeSpezProz2">Parameter!$F$38</definedName>
    <definedName name="Param.DepotRenditeSpezProz3">Parameter!$F$39</definedName>
    <definedName name="Param.DepotRenditeSpezProz4">Parameter!$F$40</definedName>
    <definedName name="Param.DepotRenditeSpezProz5">Parameter!$F$41</definedName>
    <definedName name="Param.SparrateGesamtJaehrlich">Parameter!$F$22</definedName>
    <definedName name="Param.SparrateDynamikJaehrl">Parameter!$F$20</definedName>
    <definedName name="Param.SonstigEinmaligKonto10">Parameter!$F$76</definedName>
    <definedName name="Param.SonstigEinmaligKonto9">Parameter!$F$75</definedName>
    <definedName name="Param.SonstigEinmaligKonto1">Parameter!$F$67</definedName>
    <definedName name="Param.SonstigEinmaligKonto2">Parameter!$F$68</definedName>
    <definedName name="Param.SonstigEinmaligKonto3">Parameter!$F$69</definedName>
    <definedName name="Param.SonstigEinmaligKonto4">Parameter!$F$70</definedName>
    <definedName name="Param.SonstigEinmaligKonto5">Parameter!$F$71</definedName>
    <definedName name="Param.SonstigEinmaligKonto6">Parameter!$F$72</definedName>
    <definedName name="Param.SonstigEinmaligKonto7">Parameter!$F$73</definedName>
    <definedName name="Param.SonstigEinmaligKonto8">Parameter!$F$74</definedName>
    <definedName name="Param.StartmonatVermoegensstand">Parameter!$F$7</definedName>
  </definedNames>
  <calcPr/>
  <extLst>
    <ext uri="smNativeData">
      <pm:revision xmlns:pm="smNativeData" day="1783262951" val="1068" rev="124" rev64="64" revOS="4" revMin="124" revMax="0"/>
      <pm:docPrefs xmlns:pm="smNativeData" id="1783262951" fixedDigits="0" showNotice="1" showFrameBounds="1" autoChart="1" recalcOnPrint="1" recalcOnCopy="1" compatTextArt="1" tab="567" useDefinedPrintRange="1" printArea="currentSheet"/>
      <pm:compatibility xmlns:pm="smNativeData" id="1783262951" overlapCells="1"/>
      <pm:defCurrency xmlns:pm="smNativeData" id="1783262951"/>
    </ext>
  </extLst>
</workbook>
</file>

<file path=xl/comments1.xml><?xml version="1.0" encoding="utf-8"?>
<comments xmlns="http://schemas.openxmlformats.org/spreadsheetml/2006/main">
  <authors>
    <author>Unknown</author>
  </authors>
  <commentList>
    <comment ref="B51" authorId="0">
      <text>
        <r>
          <t>Den Netto-Betrag angeben, der im 1. Jahr der Einkunft/Ausgabe ("Beginn"-Datum) eingenommen oder ausgegeben wird. Die "Steigerung p.a." wird erst im 2. Jahr der Einkunft/Ausgabe berücksichtigt.
Ausgaben als negativen Wert angeben
---
Beträge werden direkt am Jahresanfang verrechnet (nur wenn die Einkünfte größer als das "benötigte Kapital" ist, werden die restlichen Einkünfte auf das Festgeldkonto gebucht und verzinst)
---
Nutzungsbeispiele:
1) Staatliche Rente: Da die staatliche Rente bis zum Tod zahlt, kann das End-Datum auf z.B. 2200 gesetzt werden (beliebiges Jahr nach dem Tod).
2) Miteinkünfte: Bei Miteinkünften kann als End-Datum das Jahr eingetragen werden, in dem die Immobilie verkauft wird. Der Verkaufsbetrag kann als einmalige Einkunft in der anderen Tabelle erfasst werden (muss manuell erfolgen).
Die "Steigerung p.a." wäre die Mieterhöhung.
3) Krankenversicherung (KV): Falls für eine bestimmten Zeitraum die KV selbst zu zahlen ist, kann diese hier erfasst werden (als negativer Betrag, z.B. "-500€"). Das Jahr vor Beginn der staatl. Rente könnte als End-Datum der KV-Zahlung gesetzt werden (muss manuell erfolgen). Die "Steigerung p.a." wäre die erwartete jährl. Kostensteigerung für die KV.</t>
        </r>
      </text>
    </comment>
    <comment ref="B65" authorId="0">
      <text>
        <r>
          <t xml:space="preserve">Betrag entspricht dem tatsächlich erwarteten Betrag zum angegeben Jahr
(der angegebene Betrag wird nicht mit der Inflation hochgerechnet).
Ausgaben als negativen Wert angeben.
Wenn beim Konto "Depot" ausgewählt wird, darf der Betrag nicht negativ sein (Betrag &lt; 0 ist nicht erlaubt) -&gt; Das würde einer Entnahme aus dem Depot entsprechen. Die steuerlichen Auswirkungen können in der aktuellen Version nicht berechnet werden.
</t>
        </r>
      </text>
    </comment>
    <comment ref="F36" authorId="0">
      <text>
        <r>
          <t>[!] Wenn Jahreszahlen angegeben sind und der Prozentwert ist leer, wird mit 0% Rendite gerechnet.
[!] Reihenfolge der Jahre in den Zeilen ist relevant!
Richtig:
_x0009_Beginn_x0009_| Ende_x0009_| %
_x0009_2027 _x0009_| 2029_x0009_| 3%
_x0009_2030 _x0009_| 2030_x0009_| 1%
_x0009_2031 _x0009_| 2033_x0009_| 6%
Falsch:
_x0009_Beginn_x0009_| Ende_x0009_| %
_x0009_2030 _x0009_| 20</t>
        </r>
        <r>
          <rPr>
            <rFont val="Arial"/>
            <charset val="0"/>
            <family val="2"/>
            <sz val="10"/>
            <b val="0"/>
            <i val="0"/>
            <color rgb="FFFF00FF"/>
            <extLst>
              <ext uri="smNativeData">
                <pm:charSpec xmlns:pm="smNativeData" id="1783262951" fgClr="FF00FF">
                  <pm:latin face="Arial" sz="200" weight="normal" i="0"/>
                  <pm:cs face="Arial"/>
                  <pm:ea face="Arial"/>
                </pm:charSpec>
              </ext>
            </extLst>
          </rPr>
          <t>30</t>
        </r>
        <r>
          <rPr>
            <rFont val="Arial"/>
            <charset val="0"/>
            <family val="2"/>
            <sz val="10"/>
            <b val="0"/>
            <i val="0"/>
            <extLst>
              <ext uri="smNativeData">
                <pm:charSpec xmlns:pm="smNativeData" id="1783262951">
                  <pm:latin face="Arial" sz="200" weight="normal" i="0"/>
                  <pm:cs face="Arial"/>
                  <pm:ea face="Arial"/>
                </pm:charSpec>
              </ext>
            </extLst>
          </rPr>
          <t xml:space="preserve">_x0009_| 1%_x0009_</t>
        </r>
        <r>
          <t xml:space="preserve">
 _x0009_20</t>
        </r>
        <r>
          <rPr>
            <rFont val="Arial"/>
            <charset val="0"/>
            <family val="2"/>
            <sz val="10"/>
            <b val="0"/>
            <i val="0"/>
            <color rgb="FFFF00FF"/>
            <extLst>
              <ext uri="smNativeData">
                <pm:charSpec xmlns:pm="smNativeData" id="1783262951" fgClr="FF00FF">
                  <pm:latin face="Arial" sz="200" weight="normal" i="0"/>
                  <pm:cs face="Arial"/>
                  <pm:ea face="Arial"/>
                </pm:charSpec>
              </ext>
            </extLst>
          </rPr>
          <t>27</t>
        </r>
        <r>
          <rPr>
            <rFont val="Arial"/>
            <charset val="0"/>
            <family val="2"/>
            <sz val="10"/>
            <b val="0"/>
            <i val="0"/>
            <extLst>
              <ext uri="smNativeData">
                <pm:charSpec xmlns:pm="smNativeData" id="1783262951">
                  <pm:latin face="Arial" sz="200" weight="normal" i="0"/>
                  <pm:cs face="Arial"/>
                  <pm:ea face="Arial"/>
                </pm:charSpec>
              </ext>
            </extLst>
          </rPr>
          <t xml:space="preserve"> _x0009_| 2029_x0009_| 3%   &lt;- Fehler: Das "Beginn"-Jahr (2027) in dieser Zeile sind geringer als das "Ende"-Jahr (2030) in der vorherigen Zeile
_x0009_</t>
        </r>
        <r>
          <rPr>
            <rFont val="Arial"/>
            <charset val="0"/>
            <family val="2"/>
            <sz val="10"/>
            <b val="0"/>
            <i val="0"/>
            <color rgb="FFFF0000"/>
            <extLst>
              <ext uri="smNativeData">
                <pm:charSpec xmlns:pm="smNativeData" id="1783262951" fgClr="FF0000">
                  <pm:latin face="Arial" sz="200" weight="normal" i="0"/>
                  <pm:cs face="Arial"/>
                  <pm:ea face="Arial"/>
                </pm:charSpec>
              </ext>
            </extLst>
          </rPr>
          <t>2031 _x0009_| 2029</t>
        </r>
        <r>
          <rPr>
            <rFont val="Arial"/>
            <charset val="0"/>
            <family val="2"/>
            <sz val="10"/>
            <b val="0"/>
            <i val="0"/>
            <extLst>
              <ext uri="smNativeData">
                <pm:charSpec xmlns:pm="smNativeData" id="1783262951">
                  <pm:latin face="Arial" sz="200" weight="normal" i="0"/>
                  <pm:cs face="Arial"/>
                  <pm:ea face="Arial"/>
                </pm:charSpec>
              </ext>
            </extLst>
          </rPr>
          <t xml:space="preserve">_x0009_| 6%_x0009_&lt;- Fehler: "Ende" (2029) liegt vor "Beginn"</t>
        </r>
        <r>
          <rPr>
            <rFont val="Arial"/>
            <charset val="0"/>
            <family val="2"/>
            <sz val="10"/>
            <b val="0"/>
            <i val="0"/>
            <extLst>
              <ext uri="smNativeData">
                <pm:charSpec xmlns:pm="smNativeData" id="1783262951">
                  <pm:latin face="Arial" sz="200" weight="normal" i="0"/>
                  <pm:cs/>
                  <pm:ea/>
                </pm:charSpec>
              </ext>
            </extLst>
          </rPr>
          <t xml:space="preserve"> (2031)
_x0009_
</t>
        </r>
      </text>
    </comment>
    <comment ref="F14" authorId="0">
      <text>
        <r>
          <t>z.B.
=0,25*1,055</t>
        </r>
      </text>
    </comment>
    <comment ref="F15" authorId="0">
      <text>
        <r>
          <t>z.B.
2%
(historisch zw. 2 und 3%)</t>
        </r>
      </text>
    </comment>
    <comment ref="F13" authorId="0">
      <text>
        <r>
          <t>z.B.
1.000 € für Alleinstehende 
oder
2.000 € für Zusammenveranlagte</t>
        </r>
      </text>
    </comment>
    <comment ref="F12" authorId="0">
      <text>
        <r>
          <t>z.B.
30%
Wird für Gesamtes Depot herangezogen.
Falls neben berechtigten ETFs auch Einzelaktien im Depot sind, muss der Prozentsatz entsprechend reduziert werden.
Porzentsatz ggfs. anpoa</t>
        </r>
      </text>
    </comment>
    <comment ref="F20" authorId="0">
      <text>
        <r>
          <t xml:space="preserve">Die Sparrate für Depot und Festgeld wird im Jahr nach "Startjahr der Simulation" um diesen Prozentsatz erhöht.
z.B.
Startjar der Simulation: 2026
FIRE-Startjahr: 2029
Dynamishe Anpassung der Sparrate: 1%
</t>
        </r>
      </text>
    </comment>
    <comment ref="F21" authorId="0">
      <text>
        <r>
          <t xml:space="preserve">Dynamische Erhöhung erfolgt nur wenn der Wert der "Dynamischen Anpassung" (Param.SparrateDynamikJaehrl) </t>
        </r>
        <r>
          <rPr>
            <rFont val="Arial"/>
            <charset val="0"/>
            <family val="2"/>
            <sz val="10"/>
            <b val="0"/>
            <i val="0"/>
            <u val="single"/>
            <extLst>
              <ext uri="smNativeData">
                <pm:charSpec xmlns:pm="smNativeData" id="1783262951" ulstyle="single">
                  <pm:latin face="Arial" sz="200" weight="normal" i="0"/>
                  <pm:cs face="Arial"/>
                  <pm:ea face="Arial"/>
                </pm:charSpec>
              </ext>
            </extLst>
          </rPr>
          <t>nicht</t>
        </r>
        <r>
          <rPr>
            <rFont val="Arial"/>
            <charset val="0"/>
            <family val="2"/>
            <sz val="10"/>
            <b val="0"/>
            <i val="0"/>
            <extLst>
              <ext uri="smNativeData">
                <pm:charSpec xmlns:pm="smNativeData" id="1783262951">
                  <pm:latin face="Arial" sz="200" weight="normal" i="0"/>
                  <pm:cs face="Arial"/>
                  <pm:ea face="Arial"/>
                </pm:charSpec>
              </ext>
            </extLst>
          </rPr>
          <t xml:space="preserve"> 0 ist.</t>
        </r>
      </text>
    </comment>
    <comment ref="F6" authorId="0">
      <text>
        <r>
          <t xml:space="preserve">z.B.
2026
(aktuelles Jahr)
</t>
        </r>
      </text>
    </comment>
    <comment ref="F25" authorId="0">
      <text>
        <r>
          <t>Der Betrag der Stand heute zum Leben benötigt wird.
Dieser Betrag wird ab heute jährlich um die Inflation (Param.Inflationsrate) erhöht.
Siehe nächste Zeile.</t>
        </r>
      </text>
    </comment>
    <comment ref="F9" authorId="0">
      <text>
        <r>
          <t>Ende Ansparphase
Beginn Entnahmephase</t>
        </r>
      </text>
    </comment>
    <comment ref="F35" authorId="0">
      <text>
        <r>
          <t xml:space="preserve">Diese erwartete Depot-Rendite (nominal) wird herangezogen, wenn für das jeweilige Jahr keine "außergewöhnliche Rendite" angegeben wurde.
(-&gt; Standard-Rendite)
</t>
        </r>
        <r>
          <rPr>
            <rFont val="Arial"/>
            <charset val="0"/>
            <family val="2"/>
            <sz val="10"/>
            <b val="0"/>
            <i val="0"/>
            <u val="single"/>
            <extLst>
              <ext uri="smNativeData">
                <pm:charSpec xmlns:pm="smNativeData" id="1783262951" ulstyle="single">
                  <pm:latin face="Arial" sz="200" weight="normal" i="0"/>
                  <pm:cs face="Arial"/>
                  <pm:ea face="Arial"/>
                </pm:charSpec>
              </ext>
            </extLst>
          </rPr>
          <t xml:space="preserve">
Erklärung - "nominal" vs "real":</t>
        </r>
        <r>
          <rPr>
            <rFont val="Arial"/>
            <charset val="0"/>
            <family val="2"/>
            <sz val="10"/>
            <b val="0"/>
            <i val="0"/>
            <extLst>
              <ext uri="smNativeData">
                <pm:charSpec xmlns:pm="smNativeData" id="1783262951">
                  <pm:latin face="Arial" sz="200" weight="normal" i="0"/>
                  <pm:cs face="Arial"/>
                  <pm:ea face="Arial"/>
                </pm:charSpec>
              </ext>
            </extLst>
          </rPr>
          <t xml:space="preserve">
</t>
        </r>
        <r>
          <rPr>
            <rFont val="Arial"/>
            <charset val="0"/>
            <family val="2"/>
            <sz val="10"/>
            <b/>
            <i val="0"/>
            <extLst>
              <ext uri="smNativeData">
                <pm:charSpec xmlns:pm="smNativeData" id="1783262951">
                  <pm:latin face="Arial" sz="200" weight="bold" i="0"/>
                  <pm:cs face="Arial" weight="bold"/>
                  <pm:ea face="Arial" weight="bold"/>
                </pm:charSpec>
              </ext>
            </extLst>
          </rPr>
          <t xml:space="preserve">Nominale </t>
        </r>
        <r>
          <rPr>
            <rFont val="Arial"/>
            <charset val="0"/>
            <family val="2"/>
            <sz val="10"/>
            <b val="0"/>
            <i val="0"/>
            <extLst>
              <ext uri="smNativeData">
                <pm:charSpec xmlns:pm="smNativeData" id="1783262951">
                  <pm:latin face="Arial" sz="200" weight="normal" i="0"/>
                  <pm:cs face="Arial"/>
                  <pm:ea face="Arial"/>
                </pm:charSpec>
              </ext>
            </extLst>
          </rPr>
          <t xml:space="preserve">Renditeerwartung:
 - Das ist die erwartete Rendite ohne Berücksichtigung der Inflation.
 - Beispiel: Du erwartest, dass dein Depot in einem Jahr 5 % Gewinn macht → das ist die nominale Rendite.
</t>
        </r>
        <r>
          <rPr>
            <rFont val="Arial"/>
            <charset val="0"/>
            <family val="2"/>
            <sz val="10"/>
            <b val="0"/>
            <i val="0"/>
            <extLst>
              <ext uri="smNativeData">
                <pm:charSpec xmlns:pm="smNativeData" id="1783262951">
                  <pm:latin face="Arial" sz="200" weight="normal" i="0"/>
                  <pm:cs/>
                  <pm:ea/>
                </pm:charSpec>
              </ext>
            </extLst>
          </rPr>
          <t xml:space="preserve">
</t>
        </r>
        <r>
          <rPr>
            <rFont val="Arial"/>
            <charset val="0"/>
            <family val="2"/>
            <sz val="10"/>
            <b/>
            <i val="0"/>
            <extLst>
              <ext uri="smNativeData">
                <pm:charSpec xmlns:pm="smNativeData" id="1783262951">
                  <pm:latin face="Arial" sz="200" weight="bold" i="0"/>
                  <pm:cs face="Arial" weight="bold"/>
                  <pm:ea face="Arial" weight="bold"/>
                </pm:charSpec>
              </ext>
            </extLst>
          </rPr>
          <t xml:space="preserve">Reale </t>
        </r>
        <r>
          <rPr>
            <rFont val="Arial"/>
            <charset val="0"/>
            <family val="2"/>
            <sz val="10"/>
            <b val="0"/>
            <i val="0"/>
            <extLst>
              <ext uri="smNativeData">
                <pm:charSpec xmlns:pm="smNativeData" id="1783262951">
                  <pm:latin face="Arial" sz="200" weight="normal" i="0"/>
                  <pm:cs face="Arial"/>
                  <pm:ea face="Arial"/>
                </pm:charSpec>
              </ext>
            </extLst>
          </rPr>
          <t>Renditeerwartung:
 - Das ist die erwartete Rendite nach Abzug der Inflation.
   Sie zeigt also, wie viel dein Geld wirklich an Kaufkraft gewinnt.
 - Beispiel: Nominale Rendite 5 %, Inflation 2 % → reale Rendite ≈ 3 %.</t>
        </r>
      </text>
    </comment>
    <comment ref="F26" authorId="0">
      <text>
        <r>
          <t>Im Jahr der ersten Entnahme muss dieser Betrag entnommen werden, um die Kaufkraft nach Inflation zu erhalten.</t>
        </r>
      </text>
    </comment>
    <comment ref="E52" authorId="0">
      <text>
        <r>
          <t>Betrag der zum "Beginn"-Datum erstmalig eingezahlt/ausgezahlt wird.
In den folgenden Jahren wird dieser Betrag um "Steigerung p.a." erhöht.</t>
        </r>
      </text>
    </comment>
    <comment ref="F7" authorId="0">
      <text>
        <r>
          <t>Monat als Zahl erfassen
Bsp: Mai = 5
(Zugelassene Werte: 1 bis 12)
Im ersten Jahr der Simulation wird nur für die verbleibenden Monate diesen Jahres die Sparrate verrechnet.
Bsp:
Wenn das Vermögen im Mai erfasst wird, wird die Sparrate noch für _8_ Monate im Jahr verrechnet.
Es wird also auch noch die Sparrate für Mai verrechnet -&gt; Mai bis Dezember (= 8 Monate).
Das Tool geht davon aus, dass im angegebenen Monat noch keine Sparrate eingezahlt wurde. 
-&gt; Wenn der Vermögensstand im Dezember (12) erfasst wird, wird die Sparrate noch 1x verrechnet.</t>
        </r>
      </text>
    </comment>
  </commentList>
</comments>
</file>

<file path=xl/comments2.xml><?xml version="1.0" encoding="utf-8"?>
<comments xmlns="http://schemas.openxmlformats.org/spreadsheetml/2006/main">
  <authors>
    <author>Unknown</author>
  </authors>
  <commentList>
    <comment ref="C4" authorId="0">
      <text>
        <r>
          <t>quasi: geplante Entnahme nach Inflation
(ohne Rentenansprüche und Co zu berücksichtigen)</t>
        </r>
      </text>
    </comment>
    <comment ref="BF4" authorId="0">
      <text>
        <r>
          <t>Zinsen auf Festgeld/Tagesgeld sind immer steuerpflichtig (unabhängig davon, ob ein Betrag "entnommen" wird).</t>
        </r>
      </text>
    </comment>
    <comment ref="BO4" authorId="0">
      <text>
        <r>
          <t>z.B. Rentenauszahlungen</t>
        </r>
      </text>
    </comment>
    <comment ref="BN4" authorId="0">
      <text>
        <r>
          <t>Entnahme aus Depot und Festgeldkonto</t>
        </r>
      </text>
    </comment>
    <comment ref="AH4" authorId="0">
      <text>
        <r>
          <t xml:space="preserve">Berechnet den erforderlichen Brutto-Verkaufsbetrag, um das gewünschte Nettoziel ("Depot - benötigte Entnahme") nach Steuern zu erreichen.
Berücksichtigt:
• Gewinnanteil im Depot 
• Teilfreistellung von Fonds 
• Abgeltungssteuer inkl. Soli 
• Sparerpauschbetrag
Der steuerpflichtige Gewinnanteil des Verkaufs wird ermittelt, um den verbleibenden Pauschbetrag reduziert und anschließend mit dem Steuersatz belastet. Daraus wird der effektive Steuerfaktor berechnet, mit dem das Nettoziel auf den nötigen Bruttoverkauf hochgerechnet wird.
Schutzmechanismen:
• Wenn Nettoziel ≤ 0 → Ergebnis 0
• Wenn Depotwert ≤ 0 → Ergebnis 0
• Steuer kann nicht negativ werden (MAX)
• Pauschbetrag wird auf die Entnahme begrenzt (MIN)
---
Diese Formel berechnet, wie viel Geld man aus dem Depot entnehmen muss, wenn man einen bestimmten Betrag braucht, aber Kapitalertragssteuer zahlen muss.
Beispiel:
Benötigter Betrag (W5):        10.000€
Depotwert Start (S5):          100.000€
Gewinnanteil (T5):                50.000€  (50% Gewinn)
Teilfreistellung:                               0,30 (30%)
KapSt:                                            0,26375 (26,375%)
Sparer-Pauschbetrag:             1.000€
Gewinnquote (T5/S5):          50.000/100.000 = 0,50 (50%)
Nach Teilfreistellung:            0,50 * (1 - 0,30) = 0,50 * 0,70 = 0,35
Pauschbetrag-Quote:           1.000 / 10.000 = 0,10
Steuerpflicht-Quote:             0,35 - 0,10 = 0,25
Steuer-Belastung:                0,25 * 0,26375 = 0,0659375 (6,59%)
Zu entnehmen:                    10.000 / (1 - 0,0659375) = 10.000 / 0,9340625 = 10.706€
</t>
        </r>
      </text>
    </comment>
    <comment ref="Q4" authorId="0">
      <text>
        <r>
          <t xml:space="preserve">diese 2 Spalten werden benötigt um die Verteilung der Entnahme auf Depot und Festgelkonto zu verteilen.
Entnahme erfolgt prozentual.
Hinweis:
1) Diese prozentuale Verteilung wird nur bei der Berechnung der "Depot - benötigen Entnahme _ohne Steuern_" berücksichtigt. Auf diesen benötigten Betrag werden noch die Steuern auf den benötigten Entnahmewert addiert und dieser dann tatsächlich vom Depot entnommen. D.h. die tatsächliche Entnahme ist höher als der hier angegeben pozentuale Anteil.
2) Das Depot hat wahrscheinlich (siehe Parameter "Param.DepotRenditeXYZ") eine höhere Rendite als das Festgeldkonto und wächst daher mit den Jahren. Obwohl mehr entnommen wird als vom Festgeldkonto.
</t>
        </r>
      </text>
    </comment>
    <comment ref="AG4" authorId="0">
      <text>
        <r>
          <t>Dieser Betrag wird netto benötigt (also in der Tasche).
Bsp: 
Vermögensverteilung (siehe extra Spalten):
     90% im Depot, 10% als Festgeld
Wenn 10.000€ insgesamt benötigt wird (aus Depot und Festgeld-Konten), werden 9.000€ aus dem Depot entnommen (90%) und 1.000€ vom Festgeldkonto (10%).
Um diesen Betrag zu erhalten, muss aber ein höherer Betrag aus dem Depot entnommen werden. Von diesem höheren Betrag wird dann noch die Steuer abgezogen. -&gt; siehe nächste Spalte</t>
        </r>
      </text>
    </comment>
    <comment ref="AF4" authorId="0">
      <text>
        <r>
          <t>Dieser Rechner berechnet zuerst die Steuer auf die Festgeldzinsen und nutzt den Sparerpauschalbetrag bei der Versteurung der Festgeldzinsen. Der Rest des Sparerpauschbetrags wird für die Kapitalerträge aus dem Depot verwendet.
(z.B. 800€ Zinsen vom Festgeld - 1.000€ Pauschbetrag = 200€ Pauschbetrag werden von den Steuern auf die Depot-Rendite abgezogen.)</t>
        </r>
      </text>
    </comment>
    <comment ref="O4" authorId="0">
      <text>
        <r>
          <t>Falls mehr "sonstige regelm. Einkünfte" aus z.B. Rente/Miete entstehen als Kapital benötigt ("benötigtes Kapital") wird, wird der Rest auf das Festgeldkonto übertragen.
(ein eher unwahrschenlicher Fall)
Zum testen: Renteneinnahmen SEHR hoch setzen</t>
        </r>
      </text>
    </comment>
    <comment ref="N4" authorId="0">
      <text>
        <r>
          <t>Grund für max()-Formel:
Falls die Einnahmen aus Rente/Miete höher sind als das benötigte Kapital, soll hier keine "negative Entnahme" stehen.
Siehe Spalte daneben.
Falls von der Rente/Miete nach dem benötigten Kapital noch etwas übrig ist, wird dies auf den Festgeld addiert.
(eher unwahrscheinlicher Fall)</t>
        </r>
      </text>
    </comment>
    <comment ref="D2" authorId="0">
      <text>
        <r>
          <t>Im 1. Jahr der Einkunft/Auszahlung wird die "Steigerung p.a." noch nicht berücksichtigt. Erst ab dem 2. jahr.
---
sonstige regelmäßige Einkünfte die erst später beginnen (z.B. Rente) oder nur temporär verfügbar sind.
z.B. Mieteinnahmen. Beim potentiellen Verkauf der Wohnung entfallen die Einnahmen.
---
Ausgaben die nur temporär anfallen und nicht im Entnahmeplan enthalten sind.
z.B. weil die Krankenversicherung nur für ein paar Jahre selbst gezahlt werde muss (und danach als Teil der Rente gezahlt wird)</t>
        </r>
      </text>
    </comment>
    <comment ref="BC4" authorId="0">
      <text>
        <r>
          <t>Entnahme erfolgt proportional zur jeweiligen Verteilung des Vesamtvermögens (Aufteilung auf Depot und Festgeld).
Siehe extra Spalten zur Vermögensverteilung.</t>
        </r>
      </text>
    </comment>
    <comment ref="U4" authorId="0">
      <text>
        <r>
          <t>Beachte:
Falls eine Dynmaik angegeben wurde (Param.SparrateDynamikJaehrl) wird die Depot-Sparrate jährlich dynamisch erhöht.</t>
        </r>
      </text>
    </comment>
    <comment ref="AN4" authorId="0">
      <text>
        <r>
          <t xml:space="preserve">Verhältnis des Gewinns am Depot am Jahresende.
Zeigt, wie viel Prozent des Depotwerts am Jahresende aus Gewinn (inkl. Rendite) besteht.
Beinhaltet nicht die Einzahlungen - wurden bei "Gewinn nach Rendite" abgezogen
Fokus: Ertrag relativ zum Depotwert, ohne Einzahlung.
</t>
        </r>
      </text>
    </comment>
    <comment ref="S4" authorId="0">
      <text>
        <r>
          <t>Depotwert zu Beginn des Jahres</t>
        </r>
      </text>
    </comment>
    <comment ref="T4" authorId="0">
      <text>
        <r>
          <t>Gewinnanteil zu Jahresbeginn. 
Für erstes Jahr = Param.DeportwertStartPerformAnteil
Ab zweitem Jahr = Gewinn nach Rendite aus Vorjahr</t>
        </r>
      </text>
    </comment>
    <comment ref="AJ4" authorId="0">
      <text>
        <r>
          <t>Gewinnanteil nach Abzug der Entnahme. Berechnung: Gewinnanteil proportional zur Entnahme reduziert.</t>
        </r>
      </text>
    </comment>
    <comment ref="AK4" authorId="0">
      <text>
        <r>
          <t>Depotwert nach Abzug der Entnahme</t>
        </r>
      </text>
    </comment>
    <comment ref="AL4" authorId="0">
      <text>
        <r>
          <t xml:space="preserve">Depotwert am Jahresende nach Zinsen auf das verbleibende Depot nach Entnahme + monatliche Einzahlungen.
Entnahme ist bereits in Spalte "Depotwert nach Entnahme" berücksichtigt.
---
Beachten, dass in der Formel die monatliche Einzahlung berücksichtigt wird (nicht jährlich) und dass die monatliche Einzahlung davon abhängt ob man in der Ansparphase oder in der Entnahmephase ist.
---
Berechnet den Depotwert am Jahresende mit der Excel-Funktion ZW: Startkapital (nach Entnahme) wird über die verbleibenden Monate des Jahres mit dem __monatlichen__ Zinssatz aus Spalte AE verzinst, während gleichzeitig monatliche Einzahlungen berücksichtigt werden.
Im Startjahr (Zeile 5) läuft die Berechnung nur über die verbleibenden Monate ab dem erfassten Stand, in allen Folgejahren über 12 Monate.
</t>
        </r>
      </text>
    </comment>
    <comment ref="AM4" authorId="0">
      <text>
        <r>
          <t>Exakter Gewinnanteil nach Rendite, ohne Einzahlung. Berechnung: 
Gewinn nach Entnahme + Rendite auf Depot nach Entnahme, ohne Einzahlungen</t>
        </r>
      </text>
    </comment>
    <comment ref="BP4" authorId="0">
      <text>
        <r>
          <t>Falls z.B. eine Kapitallebensversicherung in Höhe von 50.000€ ausgezahlt wird und in diesem Jahr nur 40.000€ entnommen wurden, kann die Gesamt</t>
        </r>
        <r>
          <rPr>
            <rFont val="Arial"/>
            <charset val="0"/>
            <family val="2"/>
            <sz val="10"/>
            <b val="0"/>
            <i val="0"/>
            <u val="single"/>
            <extLst>
              <ext uri="smNativeData">
                <pm:charSpec xmlns:pm="smNativeData" id="1783262951" ulstyle="single">
                  <pm:latin face="Arial" sz="200" weight="normal" i="0"/>
                  <pm:cs face="Arial"/>
                  <pm:ea face="Arial"/>
                </pm:charSpec>
              </ext>
            </extLst>
          </rPr>
          <t xml:space="preserve">entnahme </t>
        </r>
        <r>
          <rPr>
            <rFont val="Arial"/>
            <charset val="0"/>
            <family val="2"/>
            <sz val="10"/>
            <b val="0"/>
            <i val="0"/>
            <extLst>
              <ext uri="smNativeData">
                <pm:charSpec xmlns:pm="smNativeData" id="1783262951">
                  <pm:latin face="Arial" sz="200" weight="normal" i="0"/>
                  <pm:cs face="Arial"/>
                  <pm:ea face="Arial"/>
                </pm:charSpec>
              </ext>
            </extLst>
          </rPr>
          <t>für das Jahr "negativ" sein.</t>
        </r>
      </text>
    </comment>
    <comment ref="AQ4" authorId="0">
      <text>
        <r>
          <t>Beachte:
Falls eine Dynmaik angegeben wurde (Param.SparrateDynamikJaehrl) wird die Festgeld-Sparrate jährlich dynamisch erhöht.</t>
        </r>
      </text>
    </comment>
    <comment ref="BE4" authorId="0">
      <text>
        <r>
          <t>Zinsen werden auch versteuert, wenn nichts entnommen wird
-&gt; jährliche Versteuerung auch während Ansparphase</t>
        </r>
      </text>
    </comment>
    <comment ref="AO4" authorId="0">
      <text>
        <r>
          <t>Im Parameter-Sheet wird die erwartete Depot-Rendite als Jahreswert eingegeben (z. B. 4 % p.a.).
Da die Berechnung das Depot monatlich verzinst , muss dieser 
Wert korrekt in einen Monatszins umgerechnet werden.
Eine simple Division durch 12 wäre mathematisch falsch - durch den Zinseszinseffekt würde die tatsächliche Jahresrendite leicht über dem eingegebenen Wert liegen.
Die korrekte Umrechnung lautet:
Monatszins = (1 + Jahresrendite)^(1/12) − 1
Bei 4 % p.a. ergibt das 0,3274 % pro Monat statt 0,3333 % (= 4 % ÷ 12). 
Der Unterschied klingt klein, macht sich aber über viele Jahre bemerkbar.
Zusätzlich prüft die Spalte, ob für das jeweilige Jahr eine Sonderrendite hinterlegt wurde (z. B. für eine erwartete schwache Börsenphase). Falls ja, wird diese statt der Default-Rendite verwendet - ebenfalls korrekt in den Monatszins umgerechnet.
---
Abweichungen von der "Standard-Rendite" werden zur bessern Übersicht farblich hervorgehoben.</t>
        </r>
      </text>
    </comment>
    <comment ref="BJ1" authorId="0">
      <text>
        <r>
          <t>Bei einer sehr hohen einmaligen Ausgabe kann das Festgeld negativ werden (Festgeld &lt; 0).
In dem Fall ist die Berechung inkorrekt (weil potentielle Negativzinsen nicht berücksichtigt werden) und es wird im Haupttabellenblatt eine Warnmeldung unter der Berechnung angezeigt.</t>
        </r>
      </text>
    </comment>
  </commentList>
</comments>
</file>

<file path=xl/sharedStrings.xml><?xml version="1.0" encoding="utf-8"?>
<sst xmlns="http://schemas.openxmlformats.org/spreadsheetml/2006/main" count="164" uniqueCount="154">
  <si>
    <t>FiRe-Spread - Beta</t>
  </si>
  <si>
    <t>v0.3.3</t>
  </si>
  <si>
    <t>Graue Felder nicht bearbeiten (werden autom. berechnet)</t>
  </si>
  <si>
    <t>Grunddaten</t>
  </si>
  <si>
    <t>Ergebnis</t>
  </si>
  <si>
    <t>Jahresangaben</t>
  </si>
  <si>
    <t>In Zahlen</t>
  </si>
  <si>
    <t>Startjahr der Simulation</t>
  </si>
  <si>
    <t>Vermögen reicht bis ins Jahr:</t>
  </si>
  <si>
    <t>Ziel dieses Tools</t>
  </si>
  <si>
    <t>Monat der Vermögenserfassung</t>
  </si>
  <si>
    <t>Vermögen reicht bis ins Lebensjahr:</t>
  </si>
  <si>
    <t>Errechnet wie lange das Vermögen bei vorgegebenden Sparrate und Entnahme ausreicht und berücksichtigt sonstige regelm. und einmalige Einzahlungen und Ausgaben.</t>
  </si>
  <si>
    <t>Alter zum Startjahr der Simulation</t>
  </si>
  <si>
    <t>Depot und Festgeld verschiedene Rendite</t>
  </si>
  <si>
    <t>FIRE-Startjahr</t>
  </si>
  <si>
    <t>Die Entnahme erfolgt immer aus dem Depot _und_ dem Festgeld. Immer proportional zum jeweiligen Bestand. So leeren sich beide Konten synchron und sollten ungefähr zeitgleich leer sein.</t>
  </si>
  <si>
    <t>In Worten</t>
  </si>
  <si>
    <t>Sonstige Lebensereignisse werden berücksichtigt (z.B. Auszahlung von privaten Lebensversicherungen, staatl. Rentenzahlung)</t>
  </si>
  <si>
    <t>Erwartete Steuern + Inflation</t>
  </si>
  <si>
    <t>Nachvollziehbare Berechnung mit Möglichkeit zur Meldung/Korrektur von Fehlern (in Online-Tools nicht immer möglich)</t>
  </si>
  <si>
    <t>Teilfreistellung Depot</t>
  </si>
  <si>
    <t>Annäherung: Versteuerung den Entnahmen unter Berücksichtigung des Sparer-Pauschbetrag (_keine_ Günstigerprüfung!)</t>
  </si>
  <si>
    <t>Sparer Pauschbetrag</t>
  </si>
  <si>
    <t>Möglichkeit zur Simulation von der Depotentwicklung in frei wählbaren Rendite-starken/-schwachen Jahren.</t>
  </si>
  <si>
    <t>KapSt (inkl Soli)</t>
  </si>
  <si>
    <t>Eine SWR wird nicht berechnet oder berücksichtigt.</t>
  </si>
  <si>
    <t>Inflationsrate p.a.</t>
  </si>
  <si>
    <t>Anforderungen</t>
  </si>
  <si>
    <r>
      <rPr>
        <rFont val="Arial"/>
        <charset val="0"/>
        <family val="2"/>
        <sz val="10"/>
        <b/>
        <i val="0"/>
        <color rgb="FF007F00"/>
        <extLst>
          <ext uri="smNativeData">
            <pm:charSpec xmlns:pm="smNativeData" id="1783262951" fgClr="007F00">
              <pm:latin face="Arial" sz="200" weight="bold" i="0"/>
              <pm:cs/>
              <pm:ea/>
            </pm:charSpec>
          </ext>
        </extLst>
      </rPr>
      <t>Einzahlungen</t>
    </r>
    <r>
      <rPr>
        <rFont val="Arial"/>
        <charset val="0"/>
        <family val="2"/>
        <sz val="10"/>
        <b/>
        <i val="0"/>
        <extLst>
          <ext uri="smNativeData">
            <pm:charSpec xmlns:pm="smNativeData" id="1783262951">
              <pm:latin face="Arial" sz="200" weight="bold" i="0"/>
              <pm:cs/>
              <pm:ea/>
            </pm:charSpec>
          </ext>
        </extLst>
      </rPr>
      <t xml:space="preserve"> bis Rentenbeginn</t>
    </r>
  </si>
  <si>
    <t>keine Makros</t>
  </si>
  <si>
    <t>Depot - Sparrate monatlich</t>
  </si>
  <si>
    <t>Läuft in</t>
  </si>
  <si>
    <t>Festgeld - Sparrate monatlich</t>
  </si>
  <si>
    <t xml:space="preserve">   Planmaker (Softmaker)</t>
  </si>
  <si>
    <t>Dynamische Anpassung der Sparrate in % (jährl. Erhöhung gilt für Depot und Festgeld)</t>
  </si>
  <si>
    <t xml:space="preserve">   LibreCalc (LibreOffice)</t>
  </si>
  <si>
    <t>Gesamtsparrate - monatlich (im 1. Jahr / wird in Folgejahren u.U.dynamisch erhöht)</t>
  </si>
  <si>
    <t xml:space="preserve">   Wahrscheinlich auch in Excel (MS Office)</t>
  </si>
  <si>
    <t>Gesamtsparrate - jährlich (im 1. Jahr / wird in Folgejahren u.U. dynamisch erhöht)</t>
  </si>
  <si>
    <t>Annahmen / Rechnerverhalten</t>
  </si>
  <si>
    <r>
      <rPr>
        <rFont val="Arial"/>
        <charset val="0"/>
        <family val="2"/>
        <sz val="10"/>
        <b/>
        <i val="0"/>
        <color rgb="FFFF0000"/>
        <extLst>
          <ext uri="smNativeData">
            <pm:charSpec xmlns:pm="smNativeData" id="1783262951" fgClr="FF0000">
              <pm:latin face="Arial" sz="200" weight="bold" i="0"/>
              <pm:cs/>
              <pm:ea/>
            </pm:charSpec>
          </ext>
        </extLst>
      </rPr>
      <t>Entnahmeplan</t>
    </r>
    <r>
      <rPr>
        <rFont val="Arial"/>
        <charset val="0"/>
        <family val="2"/>
        <sz val="10"/>
        <b/>
        <i val="0"/>
        <extLst>
          <ext uri="smNativeData">
            <pm:charSpec xmlns:pm="smNativeData" id="1783262951">
              <pm:latin face="Arial" sz="200" weight="bold" i="0"/>
              <pm:cs/>
              <pm:ea/>
            </pm:charSpec>
          </ext>
        </extLst>
      </rPr>
      <t xml:space="preserve"> ab Rentenbeginn</t>
    </r>
  </si>
  <si>
    <t xml:space="preserve"> - Depotentwicklung wird berechnet unter Annahme, dass die Entnahme (während Entnahmephasen) jeweils zum Jahresbeginn erfolgt. Die Einzahlung/Verzinsung (während Ansparphase) erfolgt monatlich.</t>
  </si>
  <si>
    <t>Jährliche Entnahme (real im heutigen Jahr)</t>
  </si>
  <si>
    <t xml:space="preserve"> - Vereinfachung: Die sonstigen regelm. / einmaligen Einkünfte und Ausgaben werden berücksichtig, wie eine Bewegung zum jeweiligen Jahrebeginn (auch wenn z.B. die regelm. Einkunft "staatl. Rente" monatlich erfolgt).</t>
  </si>
  <si>
    <t>Jährliche Entnahme (real zum 1. Entnahmejahr)</t>
  </si>
  <si>
    <t xml:space="preserve"> - Sparer-Freibetrag wird immer zuerst von den Festgelderträgen abgezogen (auch wenn keine Entnahme erfolgt). Wenn die Erträge auf Festgeld kleiner sind als der Sparerpauschbetrag (z.B. 1.000€) wird der Rest des Sparerpauschbetrags von der steuerpflicht der Depoterträge abgezogen.</t>
  </si>
  <si>
    <t xml:space="preserve"> - Entnahme aus Depot und Festgeld ist immer proportial zum jeweiligen Depot-/Kontowert</t>
  </si>
  <si>
    <t xml:space="preserve"> - mit "Festgeldkonto" ist ein beliebiges Konto gemeint (egal. ob Giro/Tagesgeld/Festgeldkonto). Es könnte auch ein Depot mit Geldmarkt-ETF (=ohne Teilfreistellung) sein, das relativ konstante Rendite/Zins abwirft.</t>
  </si>
  <si>
    <r>
      <t>Vermögen</t>
    </r>
    <r>
      <rPr>
        <rFont val="Arial"/>
        <charset val="0"/>
        <family val="2"/>
        <sz val="10"/>
        <b/>
        <i val="0"/>
        <color rgb="FF00FF00"/>
        <extLst>
          <ext uri="smNativeData">
            <pm:charSpec xmlns:pm="smNativeData" id="1783262951" fgClr="00FF00">
              <pm:latin face="Arial" sz="200" weight="bold" i="0"/>
              <pm:cs/>
              <pm:ea/>
            </pm:charSpec>
          </ext>
        </extLst>
      </rPr>
      <t xml:space="preserve"> zum Beginn des Startjahres der Simulation</t>
    </r>
  </si>
  <si>
    <t>Depot</t>
  </si>
  <si>
    <r>
      <rPr>
        <rFont val="Arial"/>
        <charset val="0"/>
        <family val="2"/>
        <sz val="10"/>
        <b/>
        <i val="0"/>
        <u val="single"/>
        <extLst>
          <ext uri="smNativeData">
            <pm:charSpec xmlns:pm="smNativeData" id="1783262951" ulstyle="single">
              <pm:latin face="Arial" sz="200" weight="bold" i="0"/>
              <pm:cs/>
              <pm:ea/>
            </pm:charSpec>
          </ext>
        </extLst>
      </rPr>
      <t>Nicht</t>
    </r>
    <r>
      <rPr>
        <rFont val="Arial"/>
        <charset val="0"/>
        <family val="2"/>
        <sz val="10"/>
        <b/>
        <i val="0"/>
        <extLst>
          <ext uri="smNativeData">
            <pm:charSpec xmlns:pm="smNativeData" id="1783262951">
              <pm:latin face="Arial" sz="200" weight="bold" i="0"/>
              <pm:cs/>
              <pm:ea/>
            </pm:charSpec>
          </ext>
        </extLst>
      </rPr>
      <t xml:space="preserve"> berücksichtigt:</t>
    </r>
  </si>
  <si>
    <t>Depotwert Start €</t>
  </si>
  <si>
    <t xml:space="preserve"> - keine Günstigerprüfung (https://frugalisten.de/steuern-kapitalertraege-privatier-optimieren/)</t>
  </si>
  <si>
    <t>Davon Performance (Gewinn vom Gesamtdepotwert)</t>
  </si>
  <si>
    <t xml:space="preserve"> - FiFo-Prinzip beim Verkauf von Wertpapieranteilen wird nicht berücksichtigt</t>
  </si>
  <si>
    <t>Bisherige Depot-Performance in %</t>
  </si>
  <si>
    <t xml:space="preserve"> - keine Berücksichtigung des Renditereihenfolgerisikos / Sequence of Returns Risk (über "Außergewöhnliche Renditen" kann stark vereinfacht "gespielt"/"simuliert" werden)</t>
  </si>
  <si>
    <t>Depot-Renditeerwartung jährlich (nominal)</t>
  </si>
  <si>
    <t xml:space="preserve"> - keine Monte Carlo Simulation</t>
  </si>
  <si>
    <t>Erwartete "Standard-Rendite" (nominal)</t>
  </si>
  <si>
    <t xml:space="preserve"> - Vorabpauschale wird nicht berücksichtigt</t>
  </si>
  <si>
    <t>Optional [!] - Außergewöhnliche Renditen (nominal)</t>
  </si>
  <si>
    <t>Beginn</t>
  </si>
  <si>
    <t>Ende</t>
  </si>
  <si>
    <t>%</t>
  </si>
  <si>
    <t>Schwache Globalwirtschaft</t>
  </si>
  <si>
    <t>Verbesserungspotential</t>
  </si>
  <si>
    <t>Schleppende Erhohlung</t>
  </si>
  <si>
    <t>Überprüfen ob überall die richtigen Begriffe verwendet wurden (z.B. Performance vs Gewinnanteil, Nominal vs Real, Brutto vs Netto)</t>
  </si>
  <si>
    <t>Starke Jahre</t>
  </si>
  <si>
    <t>Überprüfen der Berechnungen</t>
  </si>
  <si>
    <t xml:space="preserve">Im Speziellen die Berechnung in den folgenden Spalten überprüfen: </t>
  </si>
  <si>
    <t xml:space="preserve"> - Depot - benötigte Entnahme inkl. KapErtrgSteuern</t>
  </si>
  <si>
    <t xml:space="preserve"> - Depotwert nach Rendite inkl. Einzahlungen</t>
  </si>
  <si>
    <t>Festgeld (oder vergleichare liquide Anlagen wie Tagesgeld etc.)</t>
  </si>
  <si>
    <t xml:space="preserve"> - Gewinn nach Entnahme</t>
  </si>
  <si>
    <t>Festgeld Start €</t>
  </si>
  <si>
    <t>Hinweis anzeigen wenn eine Günstigerprüfung sinnvoll wäre (die jährliche Steuerlast auf die Kapitelerträge aus Depot- &amp; Festgeld-Entnahmen wird bereits berechnet)</t>
  </si>
  <si>
    <t>Festgeld Zinssatz (nominal)</t>
  </si>
  <si>
    <t>Kommentare in den Zellen überprüfen / verbessern</t>
  </si>
  <si>
    <t>Gewinnanteil korrekt berechnet (unter Berücksichtigung der Enzahlung und Entnahme)?</t>
  </si>
  <si>
    <t>Gesamtvermögen</t>
  </si>
  <si>
    <t>Einmalige Einkünfte auf das Depot einzahlen (statt auf Festgeld) - Entwicklung der Funktion ist bereits gestartet</t>
  </si>
  <si>
    <t>Grafik skalieren. Noch ein "Lebendsende-Jahr" als Feld/Option ergänzen?</t>
  </si>
  <si>
    <t>sonstige regelm. Einkünfte (z.B. Mieten) und Ausgaben (z.B. KV) - außerhalb der normalen Ansparphase / Entnahmeplans</t>
  </si>
  <si>
    <r>
      <t xml:space="preserve">Beschreibung </t>
    </r>
    <r>
      <rPr>
        <rFont val="Arial"/>
        <charset val="0"/>
        <family val="2"/>
        <sz val="10"/>
        <b val="0"/>
        <i val="0"/>
        <extLst>
          <ext uri="smNativeData">
            <pm:charSpec xmlns:pm="smNativeData" id="1783262951">
              <pm:latin face="Arial" sz="200" weight="normal" i="0"/>
              <pm:cs/>
              <pm:ea/>
            </pm:charSpec>
          </ext>
        </extLst>
      </rPr>
      <t>(erwarteter Betrag im 1. Jahr - "Beginn"-Datum)</t>
    </r>
  </si>
  <si>
    <r>
      <t>Monatl.</t>
    </r>
    <r>
      <rPr>
        <rFont val="Arial"/>
        <charset val="0"/>
        <family val="2"/>
        <sz val="10"/>
        <b val="0"/>
        <i val="0"/>
        <extLst>
          <ext uri="smNativeData">
            <pm:charSpec xmlns:pm="smNativeData" id="1783262951">
              <pm:latin face="Arial" sz="200" weight="normal" i="0"/>
              <pm:cs/>
              <pm:ea/>
            </pm:charSpec>
          </ext>
        </extLst>
      </rPr>
      <t xml:space="preserve"> (netto)</t>
    </r>
  </si>
  <si>
    <t>Jährl.</t>
  </si>
  <si>
    <t>Steigerung p.a.</t>
  </si>
  <si>
    <t>Kommentar</t>
  </si>
  <si>
    <r>
      <t>Staatl. Rente (</t>
    </r>
    <r>
      <t>erwarteter Betrag im 1. Jahr der Rentenzahlung</t>
    </r>
    <r>
      <t>)</t>
    </r>
  </si>
  <si>
    <t>staatl. Rente bis Lebensende. Erwartung, dass staatl. Rente jährl. 1% steigt</t>
  </si>
  <si>
    <t>Krankenversicherung (KV)</t>
  </si>
  <si>
    <t>Mieteinkunft</t>
  </si>
  <si>
    <t>Verkaufspreis geht als einmalige Einkunft auf das Festgeldkonto</t>
  </si>
  <si>
    <t>sonstige einmalige Einkünfte (z.B. Auszahlung Lebensvers.) und Ausgaben (z.B. Autokauf) - außerhalb der normalen Ansparphase / Entnahmeplans</t>
  </si>
  <si>
    <t>Aktuell kann ein einmaliges Ereignis nur auf das Festgeldkonto gehen. Depot funktioniert _noch_ nicht.</t>
  </si>
  <si>
    <t>Beschreibung</t>
  </si>
  <si>
    <r>
      <t xml:space="preserve">Betrag </t>
    </r>
    <r>
      <rPr>
        <rFont val="Arial"/>
        <charset val="0"/>
        <family val="2"/>
        <sz val="10"/>
        <b val="0"/>
        <i val="0"/>
        <extLst>
          <ext uri="smNativeData">
            <pm:charSpec xmlns:pm="smNativeData" id="1783262951">
              <pm:latin face="Arial" sz="200" weight="normal" i="0"/>
              <pm:cs/>
              <pm:ea/>
            </pm:charSpec>
          </ext>
        </extLst>
      </rPr>
      <t>(netto)</t>
    </r>
  </si>
  <si>
    <t>Jahr</t>
  </si>
  <si>
    <t>Depot / Festg.</t>
  </si>
  <si>
    <t>Auszahlung Kapitallebensversicherung (Einmalzahlung)</t>
  </si>
  <si>
    <t>Festgeld</t>
  </si>
  <si>
    <t>Autokauf</t>
  </si>
  <si>
    <t>Verkauf Immobilie</t>
  </si>
  <si>
    <t>ist die Einzahlung korrekt in den Gewinnanteil eingerechnet?</t>
  </si>
  <si>
    <t>Vermögen reicht bis:</t>
  </si>
  <si>
    <t>sonstige regelm. Einkünfte (z.B. Mieten) und Ausgaben (z.B. KV) - außerhalb d. norm. Ansparphase/Entnahmeplans</t>
  </si>
  <si>
    <t>macht keinen Sinn, wenn die "gesamte entnahme" negativ ist (z.B. wenn eine hohe Lebensverscherung ausgezahlt wurde)</t>
  </si>
  <si>
    <t>Vermögensaufteilung</t>
  </si>
  <si>
    <t>sonstige einmalige Einzahlungen ins Depot - außerhalb d. norm. Ansparphase</t>
  </si>
  <si>
    <t>sonstige einmalige Einkünfte (z.B. Auszahlung Lebensvers.) und Ausgaben (z.B. Autokauf) - außerhalb d. norm. Ansparphase/Entnahmeplans</t>
  </si>
  <si>
    <t>Alter</t>
  </si>
  <si>
    <t>benötigtes Kapital (real)
(zum ausgeben, gemäß Entnahmeplan)</t>
  </si>
  <si>
    <t>benötigte Entnahme
(nach Berücksichtigung der sonst. regelm. Einkünfte/Ausgaben)</t>
  </si>
  <si>
    <t>Überschuss aus sonstigen Einkünften/Ausgaben (falls Einkünfte höher benötigtes Kapital)</t>
  </si>
  <si>
    <t>Gesamtvermögen
(vor Entnahme)</t>
  </si>
  <si>
    <t>% Depot</t>
  </si>
  <si>
    <t>% Festgeld</t>
  </si>
  <si>
    <t>Depot Start</t>
  </si>
  <si>
    <t>Gewinnanteil am Depotwert</t>
  </si>
  <si>
    <t>Depot 
-
jährl. Einzahlung während Ansparphase</t>
  </si>
  <si>
    <t>Verfügbarer Pauschbetrag (nach versteuerung von Festgeldzins)</t>
  </si>
  <si>
    <t>Depot -
benötigte Entnahme ohne KapErtrgSteuern</t>
  </si>
  <si>
    <t>Depot -
benötigte Entnahme inkl. KapErtrgSteuern</t>
  </si>
  <si>
    <t>Steuer</t>
  </si>
  <si>
    <t>Gewinn nach Entnahme</t>
  </si>
  <si>
    <t>Depotwert nach Entnahme</t>
  </si>
  <si>
    <t>Depotwert nach Rendite inkl. Einzahlungen</t>
  </si>
  <si>
    <t>Gewinn nach Rendite</t>
  </si>
  <si>
    <t>Gewinnquote</t>
  </si>
  <si>
    <t>Monatlicher Zinssatz (umgerechnet "erwarteter Rendite")</t>
  </si>
  <si>
    <t>Festgeld Start</t>
  </si>
  <si>
    <t>Festgeld
-
Einzahlung während Ansparphase</t>
  </si>
  <si>
    <t>Einzahlung aus Überschuss aus regelm. Einkünften</t>
  </si>
  <si>
    <t>Festgeld Entnahme für Entnahmeplan (keine "sonstige Einkunft/Ausgabe")</t>
  </si>
  <si>
    <t>Rendite %</t>
  </si>
  <si>
    <t>Brutto Zinsen</t>
  </si>
  <si>
    <t>Genutzter
Pauschbetrag</t>
  </si>
  <si>
    <t>Nach Pausch.</t>
  </si>
  <si>
    <t>Netto Zinsen</t>
  </si>
  <si>
    <t>Festgeld Ende
inkl. Zinsen
(nach Einzahl. &amp; Entnahme)</t>
  </si>
  <si>
    <t>Gesamtverm. €</t>
  </si>
  <si>
    <t>Gesamtverm. real €</t>
  </si>
  <si>
    <t>Jahr in dem das Gesamtvermögen _nicht_ mehr für die geplante  Entnahme reicht</t>
  </si>
  <si>
    <r>
      <t xml:space="preserve">Gesamte </t>
    </r>
    <r>
      <rPr>
        <rFont val="Arial"/>
        <charset val="0"/>
        <family val="2"/>
        <sz val="10"/>
        <b/>
        <i val="0"/>
        <u val="single"/>
        <color rgb="FFFFFFFF"/>
        <extLst>
          <ext uri="smNativeData">
            <pm:charSpec xmlns:pm="smNativeData" id="1783262951" fgClr="FFFFFF" ulstyle="single">
              <pm:latin face="Arial" sz="200" weight="bold" i="0"/>
              <pm:cs/>
              <pm:ea/>
            </pm:charSpec>
          </ext>
        </extLst>
      </rPr>
      <t xml:space="preserve">geplante + regelm. </t>
    </r>
    <r>
      <rPr>
        <rFont val="Arial"/>
        <charset val="0"/>
        <family val="2"/>
        <sz val="10"/>
        <b/>
        <i val="0"/>
        <color rgb="FFFFFFFF"/>
        <extLst>
          <ext uri="smNativeData">
            <pm:charSpec xmlns:pm="smNativeData" id="1783262951" fgClr="FFFFFF">
              <pm:latin face="Arial" sz="200" weight="bold" i="0"/>
              <pm:cs/>
              <pm:ea/>
            </pm:charSpec>
          </ext>
        </extLst>
      </rPr>
      <t>Entnahmen
(aus Depot &amp; Festgeldkonto)</t>
    </r>
  </si>
  <si>
    <r>
      <t xml:space="preserve">sonstige </t>
    </r>
    <r>
      <rPr>
        <rFont val="Arial"/>
        <charset val="0"/>
        <family val="2"/>
        <sz val="10"/>
        <b/>
        <i val="0"/>
        <u val="single"/>
        <color rgb="FFFFFFFF"/>
        <extLst>
          <ext uri="smNativeData">
            <pm:charSpec xmlns:pm="smNativeData" id="1783262951" fgClr="FFFFFF" ulstyle="single">
              <pm:latin face="Arial" sz="200" weight="bold" i="0"/>
              <pm:cs/>
              <pm:ea/>
            </pm:charSpec>
          </ext>
        </extLst>
      </rPr>
      <t xml:space="preserve">einmalige
</t>
    </r>
    <r>
      <rPr>
        <rFont val="Arial"/>
        <charset val="0"/>
        <family val="2"/>
        <sz val="10"/>
        <b/>
        <i val="0"/>
        <color rgb="FFFFFFFF"/>
        <extLst>
          <ext uri="smNativeData">
            <pm:charSpec xmlns:pm="smNativeData" id="1783262951" fgClr="FFFFFF">
              <pm:latin face="Arial" sz="200" weight="bold" i="0"/>
              <pm:cs/>
              <pm:ea/>
            </pm:charSpec>
          </ext>
        </extLst>
      </rPr>
      <t>Einkünft &amp; Ausgaben</t>
    </r>
  </si>
  <si>
    <t>Gesamte Entnahmen</t>
  </si>
  <si>
    <t>Gezahlte Steuern
(auf Depot und Festgeld)</t>
  </si>
  <si>
    <t>Entnahmerate / Withdrawing rate</t>
  </si>
  <si>
    <t>Version</t>
  </si>
  <si>
    <t>Änderung</t>
  </si>
  <si>
    <t>erste Beta-Veröffentlichung</t>
  </si>
</sst>
</file>

<file path=xl/styles.xml><?xml version="1.0" encoding="utf-8"?>
<styleSheet xmlns="http://schemas.openxmlformats.org/spreadsheetml/2006/main">
  <numFmts count="16">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0.00\ [$€-407];[Red]\-#,##0.00\ [$€-407]"/>
    <numFmt numFmtId="165" formatCode="0.00&quot; %&quot;"/>
    <numFmt numFmtId="10" formatCode="0.00%"/>
    <numFmt numFmtId="166" formatCode="#,##0\ [$€-1]"/>
    <numFmt numFmtId="9" formatCode="0%"/>
    <numFmt numFmtId="167" formatCode="#,##0\ [$€-407];[Red]\-#,##0\ [$€-407]"/>
    <numFmt numFmtId="1" formatCode="0"/>
    <numFmt numFmtId="168" formatCode="DD/MM/"/>
  </numFmts>
  <fonts count="22">
    <font>
      <name val="Arial"/>
      <family val="2"/>
      <color rgb="FF000000"/>
      <sz val="10"/>
      <extLst>
        <ext uri="smNativeData">
          <pm:charSpec xmlns:pm="smNativeData" id="1783262951" ulstyle="none" kern="1">
            <pm:latin face="Arial" sz="200" lang="de-de"/>
            <pm:cs face="Lucida Sans" sz="200" lang="hi-in"/>
            <pm:ea face="Microsoft YaHei" sz="200" lang="zh-cn"/>
          </pm:charSpec>
        </ext>
      </extLst>
    </font>
    <font>
      <name val="Arial"/>
      <family val="2"/>
      <color rgb="FF000000"/>
      <sz val="10"/>
      <extLst>
        <ext uri="smNativeData">
          <pm:charSpec xmlns:pm="smNativeData" id="1783262951" ulstyle="none" kern="1">
            <pm:latin face="Arial" sz="200" lang="default"/>
            <pm:cs face="Times New Roman" sz="200" lang="default"/>
            <pm:ea face="SimSun" sz="200" lang="default"/>
          </pm:charSpec>
        </ext>
      </extLst>
    </font>
    <font>
      <name val="Arial"/>
      <family val="2"/>
      <b/>
      <color rgb="FFFFFFFF"/>
      <sz val="10"/>
      <extLst>
        <ext uri="smNativeData">
          <pm:charSpec xmlns:pm="smNativeData" id="1783262951" fgClr="FFFFFF" ulstyle="none" kern="1">
            <pm:latin face="Arial" sz="200" lang="de-de" weight="bold"/>
            <pm:cs face="Lucida Sans" sz="200" lang="hi-in"/>
            <pm:ea face="Microsoft YaHei" sz="200" lang="zh-cn"/>
          </pm:charSpec>
        </ext>
      </extLst>
    </font>
    <font>
      <name val="Arial"/>
      <family val="2"/>
      <b/>
      <color rgb="FF000000"/>
      <sz val="10"/>
      <extLst>
        <ext uri="smNativeData">
          <pm:charSpec xmlns:pm="smNativeData" id="1783262951" ulstyle="none" kern="1">
            <pm:latin face="Arial" sz="200" lang="de-de" weight="bold"/>
            <pm:cs face="Lucida Sans" sz="200" lang="hi-in" weight="bold"/>
            <pm:ea face="Microsoft YaHei" sz="200" lang="zh-cn" weight="bold"/>
          </pm:charSpec>
        </ext>
      </extLst>
    </font>
    <font>
      <name val="Arial"/>
      <family val="2"/>
      <b/>
      <color rgb="FF000000"/>
      <sz val="10"/>
      <extLst>
        <ext uri="smNativeData">
          <pm:charSpec xmlns:pm="smNativeData" id="1783262951" ulstyle="none" kern="1">
            <pm:latin face="Arial" sz="200" lang="de-de" weight="bold"/>
            <pm:cs face="Lucida Sans" sz="200" lang="hi-in"/>
            <pm:ea face="Microsoft YaHei" sz="200" lang="zh-cn"/>
          </pm:charSpec>
        </ext>
      </extLst>
    </font>
    <font>
      <name val="Arial"/>
      <family val="2"/>
      <color rgb="FFFF0000"/>
      <sz val="10"/>
      <extLst>
        <ext uri="smNativeData">
          <pm:charSpec xmlns:pm="smNativeData" id="1783262951" fgClr="FF0000" ulstyle="none" kern="1">
            <pm:latin face="Arial" sz="200" lang="de-de"/>
            <pm:cs face="Lucida Sans" sz="200" lang="hi-in"/>
            <pm:ea face="Microsoft YaHei" sz="200" lang="zh-cn"/>
          </pm:charSpec>
        </ext>
      </extLst>
    </font>
    <font>
      <name val="Arial"/>
      <family val="2"/>
      <b/>
      <color rgb="FF007F00"/>
      <sz val="10"/>
      <extLst>
        <ext uri="smNativeData">
          <pm:charSpec xmlns:pm="smNativeData" id="1783262951" fgClr="007F00" ulstyle="none" kern="1">
            <pm:latin face="Arial" sz="200" lang="de-de" weight="bold"/>
            <pm:cs face="Lucida Sans" sz="200" lang="hi-in"/>
            <pm:ea face="Microsoft YaHei" sz="200" lang="zh-cn"/>
          </pm:charSpec>
        </ext>
      </extLst>
    </font>
    <font>
      <name val="Arial"/>
      <family val="2"/>
      <b/>
      <color rgb="FFFF0000"/>
      <sz val="10"/>
      <extLst>
        <ext uri="smNativeData">
          <pm:charSpec xmlns:pm="smNativeData" id="1783262951" fgClr="FF0000" ulstyle="none" kern="1">
            <pm:latin face="Arial" sz="200" lang="de-de" weight="bold"/>
            <pm:cs face="Lucida Sans" sz="200" lang="hi-in"/>
            <pm:ea face="Microsoft YaHei" sz="200" lang="zh-cn"/>
          </pm:charSpec>
        </ext>
      </extLst>
    </font>
    <font>
      <name val="Arial"/>
      <family val="2"/>
      <color rgb="FFFFFFFF"/>
      <sz val="10"/>
      <extLst>
        <ext uri="smNativeData">
          <pm:charSpec xmlns:pm="smNativeData" id="1783262951" fgClr="FFFFFF" ulstyle="none" kern="1">
            <pm:latin face="Arial" sz="200" lang="de-de"/>
            <pm:cs face="Lucida Sans" sz="200" lang="hi-in"/>
            <pm:ea face="Microsoft YaHei" sz="200" lang="zh-cn"/>
          </pm:charSpec>
        </ext>
      </extLst>
    </font>
    <font>
      <name val="Arial"/>
      <family val="2"/>
      <b/>
      <color rgb="FF00FF00"/>
      <sz val="10"/>
      <extLst>
        <ext uri="smNativeData">
          <pm:charSpec xmlns:pm="smNativeData" id="1783262951" fgClr="00FF00" ulstyle="none" kern="1">
            <pm:latin face="Arial" sz="200" lang="de-de" weight="bold"/>
            <pm:cs face="Lucida Sans" sz="200" lang="hi-in"/>
            <pm:ea face="Microsoft YaHei" sz="200" lang="zh-cn"/>
          </pm:charSpec>
        </ext>
      </extLst>
    </font>
    <font>
      <name val="Arial"/>
      <family val="2"/>
      <b/>
      <color rgb="FFFFFFCC"/>
      <sz val="10"/>
      <extLst>
        <ext uri="smNativeData">
          <pm:charSpec xmlns:pm="smNativeData" id="1783262951" fgClr="FFFFCC" ulstyle="none" kern="1">
            <pm:latin face="Arial" sz="200" lang="de-de" weight="bold"/>
            <pm:cs face="Lucida Sans" sz="200" lang="hi-in"/>
            <pm:ea face="Microsoft YaHei" sz="200" lang="zh-cn"/>
          </pm:charSpec>
        </ext>
      </extLst>
    </font>
    <font>
      <name val="Arial"/>
      <family val="2"/>
      <i/>
      <color rgb="FF000000"/>
      <sz val="10"/>
      <extLst>
        <ext uri="smNativeData">
          <pm:charSpec xmlns:pm="smNativeData" id="1783262951" ulstyle="none" kern="1">
            <pm:latin face="Arial" sz="200" lang="de-de" i="1"/>
            <pm:cs face="Lucida Sans" sz="200" lang="hi-in"/>
            <pm:ea face="Microsoft YaHei" sz="200" lang="zh-cn"/>
          </pm:charSpec>
        </ext>
      </extLst>
    </font>
    <font>
      <name val="Arial"/>
      <family val="2"/>
      <b/>
      <i/>
      <color rgb="FF000000"/>
      <sz val="10"/>
      <extLst>
        <ext uri="smNativeData">
          <pm:charSpec xmlns:pm="smNativeData" id="1783262951" ulstyle="none" kern="1">
            <pm:latin face="Arial" sz="200" lang="de-de" weight="bold" i="1"/>
            <pm:cs face="Lucida Sans" sz="200" lang="hi-in"/>
            <pm:ea face="Microsoft YaHei" sz="200" lang="zh-cn"/>
          </pm:charSpec>
        </ext>
      </extLst>
    </font>
    <font>
      <name val="Arial"/>
      <family val="2"/>
      <b/>
      <color rgb="FF000000"/>
      <sz val="10"/>
      <u val="single"/>
      <extLst>
        <ext uri="smNativeData">
          <pm:charSpec xmlns:pm="smNativeData" id="1783262951" ulstyle="single" kern="1">
            <pm:latin face="Arial" sz="200" lang="de-de" weight="bold"/>
            <pm:cs face="Lucida Sans" sz="200" lang="hi-in"/>
            <pm:ea face="Microsoft YaHei" sz="200" lang="zh-cn"/>
          </pm:charSpec>
        </ext>
      </extLst>
    </font>
    <font>
      <name val="Arial"/>
      <family val="2"/>
      <b/>
      <color rgb="FFFFFFFF"/>
      <sz val="10"/>
      <u val="single"/>
      <extLst>
        <ext uri="smNativeData">
          <pm:charSpec xmlns:pm="smNativeData" id="1783262951" fgClr="FFFFFF" ulstyle="single" kern="1">
            <pm:latin face="Arial" sz="200" lang="de-de" weight="bold"/>
            <pm:cs face="Lucida Sans" sz="200" lang="hi-in"/>
            <pm:ea face="Microsoft YaHei" sz="200" lang="zh-cn"/>
          </pm:charSpec>
        </ext>
      </extLst>
    </font>
    <font>
      <name val="Arial"/>
      <family val="2"/>
      <i/>
      <color rgb="FF000000"/>
      <sz val="10"/>
      <extLst>
        <ext uri="smNativeData">
          <pm:charSpec xmlns:pm="smNativeData" id="1783262951" ulstyle="none" kern="1">
            <pm:latin face="Arial" sz="200" lang="default" i="1"/>
            <pm:cs face="Times New Roman" sz="200" lang="default"/>
            <pm:ea face="SimSun" sz="200" lang="default"/>
          </pm:charSpec>
        </ext>
      </extLst>
    </font>
    <font>
      <name val="Arial"/>
      <family val="2"/>
      <b/>
      <color rgb="FF00A300"/>
      <sz val="10"/>
      <extLst>
        <ext uri="smNativeData">
          <pm:charSpec xmlns:pm="smNativeData" id="1783262951" fgClr="00A300" ulstyle="none" kern="1">
            <pm:latin face="Arial" sz="200" lang="de-de" weight="bold"/>
            <pm:cs face="Lucida Sans" sz="200" lang="hi-in"/>
            <pm:ea face="Microsoft YaHei" sz="200" lang="zh-cn"/>
          </pm:charSpec>
        </ext>
      </extLst>
    </font>
    <font>
      <name val="Arial"/>
      <family val="2"/>
      <color rgb="FF000000"/>
      <sz val="10"/>
      <u val="single"/>
      <extLst>
        <ext uri="smNativeData">
          <pm:charSpec xmlns:pm="smNativeData" id="1783262951" ulstyle="single" kern="1">
            <pm:latin face="Arial" sz="200" lang="de-de"/>
            <pm:cs face="Lucida Sans" sz="200" lang="hi-in"/>
            <pm:ea face="Microsoft YaHei" sz="200" lang="zh-cn"/>
          </pm:charSpec>
        </ext>
      </extLst>
    </font>
    <font>
      <name val="Arial"/>
      <family val="2"/>
      <b/>
      <color rgb="FFA30000"/>
      <sz val="10"/>
      <extLst>
        <ext uri="smNativeData">
          <pm:charSpec xmlns:pm="smNativeData" id="1783262951" fgClr="A30000" ulstyle="none" kern="1">
            <pm:latin face="Arial" sz="200" lang="de-de" weight="bold"/>
            <pm:cs face="Lucida Sans" sz="200" lang="hi-in"/>
            <pm:ea face="Microsoft YaHei" sz="200" lang="zh-cn"/>
          </pm:charSpec>
        </ext>
      </extLst>
    </font>
    <font>
      <name val="Arial"/>
      <family val="2"/>
      <b/>
      <color rgb="FFFFCCCC"/>
      <sz val="10"/>
      <extLst>
        <ext uri="smNativeData">
          <pm:charSpec xmlns:pm="smNativeData" id="1783262951" fgClr="FFCCCC" ulstyle="none" kern="1">
            <pm:latin face="Arial" sz="200" lang="de-de" weight="bold"/>
            <pm:cs face="Lucida Sans" sz="200" lang="hi-in"/>
            <pm:ea face="Microsoft YaHei" sz="200" lang="zh-cn"/>
          </pm:charSpec>
        </ext>
      </extLst>
    </font>
    <font>
      <name val="Arial"/>
      <family val="2"/>
      <b/>
      <color rgb="FFFFFFFF"/>
      <sz val="24"/>
      <extLst>
        <ext uri="smNativeData">
          <pm:charSpec xmlns:pm="smNativeData" id="1783262951" fgClr="FFFFFF" ulstyle="none" kern="1">
            <pm:latin face="Arial" sz="480" lang="de-de" weight="bold"/>
            <pm:cs face="Lucida Sans" sz="480" lang="hi-in"/>
            <pm:ea face="Microsoft YaHei" sz="480" lang="zh-cn"/>
          </pm:charSpec>
        </ext>
      </extLst>
    </font>
    <font>
      <name val="Arial"/>
      <family val="2"/>
      <color rgb="FFFFFFFF"/>
      <sz val="24"/>
      <extLst>
        <ext uri="smNativeData">
          <pm:charSpec xmlns:pm="smNativeData" id="1783262951" fgClr="FFFFFF" ulstyle="none" kern="1">
            <pm:latin face="Arial" sz="480" lang="de-de"/>
            <pm:cs face="Lucida Sans" sz="480" lang="hi-in"/>
            <pm:ea face="Microsoft YaHei" sz="480" lang="zh-cn"/>
          </pm:charSpec>
        </ext>
      </extLst>
    </font>
  </fonts>
  <fills count="33">
    <fill>
      <patternFill patternType="none"/>
    </fill>
    <fill>
      <patternFill patternType="gray125"/>
    </fill>
    <fill>
      <patternFill patternType="solid">
        <fgColor rgb="FF4472C4"/>
        <bgColor rgb="FFFFFFFF"/>
        <extLst>
          <ext uri="smNativeData">
            <pm:shade xmlns:pm="smNativeData" id="1783262951" type="1" fgLvl="100" fgClr="004472C4" bgLvl="100" bgClr="00FFFFFF"/>
          </ext>
        </extLst>
      </patternFill>
    </fill>
    <fill>
      <patternFill patternType="solid">
        <fgColor rgb="FFFF5C5C"/>
        <bgColor rgb="FFFFFFFF"/>
        <extLst>
          <ext uri="smNativeData">
            <pm:shade xmlns:pm="smNativeData" id="1783262951" type="1" fgLvl="64" fgClr="00FF0000" bgLvl="36" bgClr="00FFFFFF"/>
          </ext>
        </extLst>
      </patternFill>
    </fill>
    <fill>
      <patternFill patternType="solid">
        <fgColor rgb="FFFFAE4D"/>
        <bgColor rgb="FFFFFFFF"/>
        <extLst>
          <ext uri="smNativeData">
            <pm:shade xmlns:pm="smNativeData" id="1783262951" type="1" fgLvl="100" fgClr="00FFAE4D" bgLvl="100" bgClr="00FFFFFF"/>
          </ext>
        </extLst>
      </patternFill>
    </fill>
    <fill>
      <patternFill patternType="solid">
        <fgColor rgb="FFE6E6E6"/>
        <bgColor rgb="FFFFFFFF"/>
        <extLst>
          <ext uri="smNativeData">
            <pm:shade xmlns:pm="smNativeData" id="1783262951" type="1" fgLvl="100" fgClr="00E6E6E6" bgLvl="0" bgClr="00FFFFFF"/>
          </ext>
        </extLst>
      </patternFill>
    </fill>
    <fill>
      <patternFill patternType="solid">
        <fgColor rgb="FFFFE0BB"/>
        <bgColor rgb="FFFFFFFF"/>
        <extLst>
          <ext uri="smNativeData">
            <pm:shade xmlns:pm="smNativeData" id="1783262951" type="1" fgLvl="38" fgClr="00FFAE4D" bgLvl="62" bgClr="00FFFFFF"/>
          </ext>
        </extLst>
      </patternFill>
    </fill>
    <fill>
      <patternFill patternType="solid">
        <fgColor rgb="FF217BDE"/>
        <bgColor rgb="FFFFFFFF"/>
        <extLst>
          <ext uri="smNativeData">
            <pm:shade xmlns:pm="smNativeData" id="1783262951" type="1" fgLvl="100" fgClr="00217BDE" bgLvl="0" bgClr="00FFFFFF"/>
          </ext>
        </extLst>
      </patternFill>
    </fill>
    <fill>
      <patternFill patternType="solid">
        <fgColor rgb="FF599CE6"/>
        <bgColor rgb="FFFFFFFF"/>
        <extLst>
          <ext uri="smNativeData">
            <pm:shade xmlns:pm="smNativeData" id="1783262951" type="1" fgLvl="75" fgClr="00217BDE" bgLvl="25" bgClr="00FFFFFF"/>
          </ext>
        </extLst>
      </patternFill>
    </fill>
    <fill>
      <patternFill patternType="solid">
        <fgColor rgb="FFE2EEFB"/>
        <bgColor rgb="FFFFFFFF"/>
        <extLst>
          <ext uri="smNativeData">
            <pm:shade xmlns:pm="smNativeData" id="1783262951" type="1" fgLvl="13" fgClr="00217BDE" bgLvl="87" bgClr="00FFFFFF"/>
          </ext>
        </extLst>
      </patternFill>
    </fill>
    <fill>
      <patternFill patternType="solid">
        <fgColor rgb="FFABCDF2"/>
        <bgColor rgb="FFFFFFFF"/>
        <extLst>
          <ext uri="smNativeData">
            <pm:shade xmlns:pm="smNativeData" id="1783262951" type="1" fgLvl="38" fgClr="00217BDE" bgLvl="62" bgClr="00FFFFFF"/>
          </ext>
        </extLst>
      </patternFill>
    </fill>
    <fill>
      <patternFill patternType="solid">
        <fgColor rgb="FFFFFF00"/>
        <bgColor rgb="FFFFFFFF"/>
        <extLst>
          <ext uri="smNativeData">
            <pm:shade xmlns:pm="smNativeData" id="1783262951" type="1" fgLvl="100" fgClr="00FFFF00" bgLvl="0" bgClr="00000000"/>
          </ext>
        </extLst>
      </patternFill>
    </fill>
    <fill>
      <patternFill patternType="solid">
        <fgColor rgb="FFD1D100"/>
        <bgColor rgb="FFFFFFFF"/>
        <extLst>
          <ext uri="smNativeData">
            <pm:shade xmlns:pm="smNativeData" id="1783262951" type="1" fgLvl="100" fgClr="00D1D100" bgLvl="0" bgClr="00FFFFFF"/>
          </ext>
        </extLst>
      </patternFill>
    </fill>
    <fill>
      <patternFill patternType="solid">
        <fgColor rgb="FF9E9E3D"/>
        <bgColor rgb="FFFFFFFF"/>
        <extLst>
          <ext uri="smNativeData">
            <pm:shade xmlns:pm="smNativeData" id="1783262951" type="1" fgLvl="76" fgClr="007F7F00" bgLvl="24" bgClr="00FFFFFF"/>
          </ext>
        </extLst>
      </patternFill>
    </fill>
    <fill>
      <patternFill patternType="solid">
        <fgColor rgb="FF9E9E3D"/>
        <bgColor rgb="FFFFFFFF"/>
        <extLst>
          <ext uri="smNativeData">
            <pm:shade xmlns:pm="smNativeData" id="1783262951" type="1" fgLvl="100" fgClr="009E9E3D" bgLvl="0" bgClr="00FFFFFF"/>
          </ext>
        </extLst>
      </patternFill>
    </fill>
    <fill>
      <patternFill patternType="none"/>
    </fill>
    <fill>
      <patternFill patternType="none"/>
    </fill>
    <fill>
      <patternFill patternType="solid">
        <fgColor rgb="FFE6E6E6"/>
        <bgColor rgb="FFFFFFFF"/>
        <extLst>
          <ext uri="smNativeData">
            <pm:shade xmlns:pm="smNativeData" id="1783262951" type="1" fgLvl="100" fgClr="00E6E6E6" bgLvl="0" bgClr="00FFFFFF"/>
          </ext>
        </extLst>
      </patternFill>
    </fill>
    <fill>
      <patternFill patternType="solid">
        <fgColor rgb="FFFFE0E0"/>
        <bgColor rgb="FFFFFFFF"/>
        <extLst>
          <ext uri="smNativeData">
            <pm:shade xmlns:pm="smNativeData" id="1783262951" type="1" fgLvl="12" fgClr="00FF0000" bgLvl="88" bgClr="00FFFFFF"/>
          </ext>
        </extLst>
      </patternFill>
    </fill>
    <fill>
      <patternFill patternType="solid">
        <fgColor rgb="FF0000FF"/>
        <bgColor rgb="FFFFFFFF"/>
        <extLst>
          <ext uri="smNativeData">
            <pm:shade xmlns:pm="smNativeData" id="1783262951" type="1" fgLvl="100" fgClr="000000FF" bgLvl="0" bgClr="00FFFFFF"/>
          </ext>
        </extLst>
      </patternFill>
    </fill>
    <fill>
      <patternFill patternType="solid">
        <fgColor rgb="FFFF9E9E"/>
        <bgColor rgb="FFFFFFFF"/>
        <extLst>
          <ext uri="smNativeData">
            <pm:shade xmlns:pm="smNativeData" id="1783262951" type="1" fgLvl="38" fgClr="00FF0000" bgLvl="62" bgClr="00FFFFFF"/>
          </ext>
        </extLst>
      </patternFill>
    </fill>
    <fill>
      <patternFill patternType="solid">
        <fgColor rgb="FFFF981A"/>
        <bgColor rgb="FFFFFFFF"/>
        <extLst>
          <ext uri="smNativeData">
            <pm:shade xmlns:pm="smNativeData" id="1783262951" type="1" fgLvl="100" fgClr="00FF981A" bgLvl="0" bgClr="00FFFFFF"/>
          </ext>
        </extLst>
      </patternFill>
    </fill>
    <fill>
      <patternFill patternType="solid">
        <fgColor rgb="FF00FFFF"/>
        <bgColor rgb="FFFFFFFF"/>
        <extLst>
          <ext uri="smNativeData">
            <pm:shade xmlns:pm="smNativeData" id="1783262951" type="1" fgLvl="100" fgClr="0000FFFF" bgLvl="0" bgClr="00000000"/>
          </ext>
        </extLst>
      </patternFill>
    </fill>
    <fill>
      <patternFill patternType="solid">
        <fgColor rgb="FFD9D9D9"/>
        <bgColor rgb="FFFFFFFF"/>
        <extLst>
          <ext uri="smNativeData">
            <pm:shade xmlns:pm="smNativeData" id="1783262951" type="1" fgLvl="85" fgClr="00FFFFFF" bgLvl="15" bgClr="00000000"/>
          </ext>
        </extLst>
      </patternFill>
    </fill>
    <fill>
      <patternFill patternType="none"/>
    </fill>
    <fill>
      <patternFill patternType="none"/>
    </fill>
    <fill>
      <patternFill patternType="solid">
        <fgColor rgb="FF002F5E"/>
        <bgColor rgb="FFFFFFFF"/>
        <extLst>
          <ext uri="smNativeData">
            <pm:shade xmlns:pm="smNativeData" id="1783262951" type="1" fgLvl="100" fgClr="00002F5E" bgLvl="0" bgClr="00FFFFFF"/>
          </ext>
        </extLst>
      </patternFill>
    </fill>
    <fill>
      <patternFill patternType="solid">
        <fgColor rgb="FF1F5A95"/>
        <bgColor rgb="FFFFFFFF"/>
        <extLst>
          <ext uri="smNativeData">
            <pm:shade xmlns:pm="smNativeData" id="1783262951" type="1" fgLvl="88" fgClr="00004386" bgLvl="12" bgClr="00FFFFFF"/>
          </ext>
        </extLst>
      </patternFill>
    </fill>
    <fill>
      <patternFill patternType="solid">
        <fgColor rgb="FF3DFFFF"/>
        <bgColor rgb="FFFFFFFF"/>
        <extLst>
          <ext uri="smNativeData">
            <pm:shade xmlns:pm="smNativeData" id="1783262951" type="1" fgLvl="76" fgClr="0000FFFF" bgLvl="24" bgClr="00FFFFFF"/>
          </ext>
        </extLst>
      </patternFill>
    </fill>
    <fill>
      <patternFill patternType="solid">
        <fgColor rgb="FF5CFFFF"/>
        <bgColor rgb="FFFFFFFF"/>
        <extLst>
          <ext uri="smNativeData">
            <pm:shade xmlns:pm="smNativeData" id="1783262951" type="1" fgLvl="64" fgClr="0000FFFF" bgLvl="36" bgClr="00FFFFFF"/>
          </ext>
        </extLst>
      </patternFill>
    </fill>
    <fill>
      <patternFill patternType="solid">
        <fgColor rgb="FF002F5E"/>
        <bgColor rgb="FFFFFFFF"/>
        <extLst>
          <ext uri="smNativeData">
            <pm:shade xmlns:pm="smNativeData" id="1783262951" type="1" fgLvl="100" fgClr="00002F5E" bgLvl="0" bgClr="00FFFFFF"/>
          </ext>
        </extLst>
      </patternFill>
    </fill>
    <fill>
      <patternFill patternType="solid">
        <fgColor rgb="FF8097AF"/>
        <bgColor rgb="FFFFFFFF"/>
        <extLst>
          <ext uri="smNativeData">
            <pm:shade xmlns:pm="smNativeData" id="1783262951" type="1" fgLvl="50" fgClr="00002F5E" bgLvl="50" bgClr="00FFFFFF"/>
          </ext>
        </extLst>
      </patternFill>
    </fill>
    <fill>
      <patternFill patternType="solid">
        <fgColor rgb="FFFFFFFF"/>
        <bgColor rgb="FFFFFFFF"/>
        <extLst>
          <ext uri="smNativeData">
            <pm:shade xmlns:pm="smNativeData" id="1783262951" type="1" fgLvl="100" fgClr="00FFFFFF" bgLvl="100" bgClr="00000000"/>
          </ext>
        </extLst>
      </patternFill>
    </fill>
  </fills>
  <borders count="32">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thin">
        <color rgb="FF000000"/>
      </left>
      <right style="thin">
        <color rgb="FF000000"/>
      </right>
      <top style="thin">
        <color rgb="FF000000"/>
      </top>
      <bottom style="thin">
        <color rgb="FF000000"/>
      </bottom>
      <extLst>
        <ext uri="smNativeData">
          <pm:border xmlns:pm="smNativeData" id="1783262951">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E6E6E6"/>
      </left>
      <right style="thin">
        <color rgb="FFE6E6E6"/>
      </right>
      <top style="thin">
        <color rgb="FFE6E6E6"/>
      </top>
      <bottom style="thin">
        <color rgb="FFE6E6E6"/>
      </bottom>
      <extLst>
        <ext uri="smNativeData">
          <pm:border xmlns:pm="smNativeData" id="1783262951">
            <pm:line position="top" type="1" style="0" width="20" dist="20" width2="20" rgb="E6E6E6"/>
            <pm:line position="bottom" type="1" style="0" width="20" dist="20" width2="20" rgb="E6E6E6"/>
            <pm:line position="left" type="1" style="0" width="20" dist="20" width2="20" rgb="E6E6E6"/>
            <pm:line position="right" type="1" style="0" width="20" dist="20" width2="20" rgb="E6E6E6"/>
          </pm:border>
        </ext>
      </extLst>
    </border>
    <border>
      <left style="thin">
        <color rgb="FFE6E6E6"/>
      </left>
      <right style="thin">
        <color rgb="FFE6E6E6"/>
      </right>
      <top style="thin">
        <color rgb="FFE6E6E6"/>
      </top>
      <bottom style="thin">
        <color rgb="FFE6E6E6"/>
      </bottom>
      <extLst>
        <ext uri="smNativeData">
          <pm:border xmlns:pm="smNativeData" id="1783262951">
            <pm:line position="top" type="1" style="0" width="20" dist="20" width2="20" rgb="E6E6E6"/>
            <pm:line position="bottom" type="1" style="0" width="20" dist="20" width2="20" rgb="E6E6E6"/>
            <pm:line position="left" type="1" style="0" width="20" dist="20" width2="20" rgb="E6E6E6"/>
            <pm:line position="right" type="1" style="0" width="20" dist="20" width2="20" rgb="E6E6E6"/>
          </pm:border>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hair">
        <color rgb="FFCCCCCC"/>
      </left>
      <right style="hair">
        <color rgb="FFCCCCCC"/>
      </right>
      <top style="hair">
        <color rgb="FFCCCCCC"/>
      </top>
      <bottom style="hair">
        <color rgb="FFCCCCCC"/>
      </bottom>
      <extLst>
        <ext uri="smNativeData">
          <pm:border xmlns:pm="smNativeData" id="1783262951">
            <pm:line position="top" type="1" style="0" width="1" dist="20" width2="20" rgb="CCCCCC"/>
            <pm:line position="bottom" type="1" style="0" width="1" dist="20" width2="20" rgb="CCCCCC"/>
            <pm:line position="left" type="1" style="0" width="1" dist="20" width2="20" rgb="CCCCCC"/>
            <pm:line position="right" type="1" style="0" width="1" dist="20" width2="20" rgb="CCCCCC"/>
          </pm:border>
        </ext>
      </extLst>
    </border>
    <border>
      <left style="thin">
        <color rgb="FFE6E6E6"/>
      </left>
      <right style="none">
        <color rgb="FF000000"/>
      </right>
      <top style="thin">
        <color rgb="FFE6E6E6"/>
      </top>
      <bottom style="thin">
        <color rgb="FFE6E6E6"/>
      </bottom>
      <extLst>
        <ext uri="smNativeData">
          <pm:border xmlns:pm="smNativeData" id="1783262951">
            <pm:line position="top" type="1" style="0" width="20" dist="20" width2="20" rgb="E6E6E6"/>
            <pm:line position="bottom" type="1" style="0" width="20" dist="20" width2="20" rgb="E6E6E6"/>
            <pm:line position="left" type="1" style="0" width="20" dist="20" width2="20" rgb="E6E6E6"/>
          </pm:border>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thin">
        <color rgb="FF000000"/>
      </left>
      <right style="thin">
        <color rgb="FF000000"/>
      </right>
      <top style="thin">
        <color rgb="FF000000"/>
      </top>
      <bottom style="thin">
        <color rgb="FF000000"/>
      </bottom>
      <extLst>
        <ext uri="smNativeData">
          <pm:border xmlns:pm="smNativeData" id="1783262951">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83262951"/>
        </ext>
      </extLst>
    </border>
    <border>
      <left style="none">
        <color rgb="FF000000"/>
      </left>
      <right style="none">
        <color rgb="FF000000"/>
      </right>
      <top style="none">
        <color rgb="FF000000"/>
      </top>
      <bottom style="none">
        <color rgb="FF000000"/>
      </bottom>
      <extLst>
        <ext uri="smNativeData">
          <pm:border xmlns:pm="smNativeData" id="1783262951"/>
        </ext>
      </extLst>
    </border>
  </borders>
  <cellStyleXfs count="1">
    <xf numFmtId="0" fontId="0" fillId="0" borderId="0" applyNumberFormat="1" applyFont="1" applyFill="1" applyBorder="1" applyAlignment="1" applyProtection="1"/>
  </cellStyleXfs>
  <cellXfs count="117">
    <xf numFmtId="0" fontId="0" fillId="0" borderId="0" xfId="0"/>
    <xf numFmtId="165" fontId="0" fillId="0" borderId="0" xfId="0" applyNumberFormat="1"/>
    <xf numFmtId="164" fontId="0" fillId="0" borderId="0" xfId="0" applyNumberFormat="1"/>
    <xf numFmtId="0" fontId="2" fillId="2" borderId="1" xfId="0" applyFont="1" applyFill="1"/>
    <xf numFmtId="0" fontId="0" fillId="0" borderId="0" xfId="0" applyAlignment="1">
      <alignment wrapText="1"/>
    </xf>
    <xf numFmtId="10" fontId="0" fillId="0" borderId="0" xfId="0" applyNumberFormat="1"/>
    <xf numFmtId="0" fontId="0" fillId="3" borderId="2" xfId="0" applyFill="1"/>
    <xf numFmtId="0" fontId="1" fillId="0" borderId="0" xfId="0" applyFont="1"/>
    <xf numFmtId="164" fontId="1" fillId="0" borderId="0" xfId="0" applyNumberFormat="1" applyFont="1"/>
    <xf numFmtId="0" fontId="4" fillId="0" borderId="0" xfId="0" applyFont="1"/>
    <xf numFmtId="166" fontId="0" fillId="0" borderId="0" xfId="0" applyNumberFormat="1"/>
    <xf numFmtId="9" fontId="0" fillId="0" borderId="0" xfId="0" applyNumberFormat="1"/>
    <xf numFmtId="0" fontId="4" fillId="4" borderId="3" xfId="0" applyFont="1" applyFill="1"/>
    <xf numFmtId="165" fontId="0" fillId="4" borderId="3" xfId="0" applyNumberFormat="1" applyFill="1"/>
    <xf numFmtId="0" fontId="5" fillId="0" borderId="0" xfId="0" applyFont="1"/>
    <xf numFmtId="0" fontId="2" fillId="4" borderId="3" xfId="0" applyFont="1" applyFill="1" applyAlignment="1">
      <alignment wrapText="1"/>
    </xf>
    <xf numFmtId="166" fontId="2" fillId="4" borderId="3" xfId="0" applyNumberFormat="1" applyFont="1" applyFill="1" applyAlignment="1">
      <alignment wrapText="1"/>
    </xf>
    <xf numFmtId="0" fontId="0" fillId="4" borderId="3" xfId="0" applyFill="1"/>
    <xf numFmtId="0" fontId="1" fillId="4" borderId="3" xfId="0" applyFont="1" applyFill="1"/>
    <xf numFmtId="10" fontId="0" fillId="5" borderId="4" xfId="0" applyNumberFormat="1" applyFill="1"/>
    <xf numFmtId="0" fontId="0" fillId="5" borderId="4" xfId="0" applyFill="1"/>
    <xf numFmtId="0" fontId="4" fillId="6" borderId="5" xfId="0" applyFont="1" applyFill="1"/>
    <xf numFmtId="165" fontId="0" fillId="6" borderId="5" xfId="0" applyNumberFormat="1" applyFill="1"/>
    <xf numFmtId="0" fontId="4" fillId="7" borderId="6" xfId="0" applyFont="1" applyFill="1"/>
    <xf numFmtId="0" fontId="10" fillId="7" borderId="6" xfId="0" applyFont="1" applyFill="1"/>
    <xf numFmtId="0" fontId="0" fillId="7" borderId="6" xfId="0" applyFill="1"/>
    <xf numFmtId="0" fontId="10" fillId="8" borderId="7" xfId="0" applyFont="1" applyFill="1"/>
    <xf numFmtId="0" fontId="4" fillId="9" borderId="8" xfId="0" applyFont="1" applyFill="1"/>
    <xf numFmtId="10" fontId="4" fillId="10" borderId="9" xfId="0" applyNumberFormat="1" applyFont="1" applyFill="1" applyAlignment="1">
      <alignment horizontal="center"/>
    </xf>
    <xf numFmtId="10" fontId="4" fillId="10" borderId="9" xfId="0" applyNumberFormat="1" applyFont="1" applyFill="1"/>
    <xf numFmtId="0" fontId="11" fillId="0" borderId="0" xfId="0" applyFont="1"/>
    <xf numFmtId="10" fontId="10" fillId="8" borderId="7" xfId="0" applyNumberFormat="1" applyFont="1" applyFill="1" applyAlignment="1">
      <alignment horizontal="center"/>
    </xf>
    <xf numFmtId="166" fontId="4" fillId="11" borderId="10" xfId="0" applyNumberFormat="1" applyFont="1" applyFill="1" applyAlignment="1">
      <alignment wrapText="1"/>
    </xf>
    <xf numFmtId="0" fontId="4" fillId="12" borderId="11" xfId="0" applyFont="1" applyFill="1"/>
    <xf numFmtId="165" fontId="0" fillId="12" borderId="11" xfId="0" applyNumberFormat="1" applyFill="1"/>
    <xf numFmtId="0" fontId="0" fillId="13" borderId="12" xfId="0" applyFill="1"/>
    <xf numFmtId="166" fontId="2" fillId="13" borderId="12" xfId="0" applyNumberFormat="1" applyFont="1" applyFill="1" applyAlignment="1">
      <alignment horizontal="center"/>
    </xf>
    <xf numFmtId="0" fontId="2" fillId="13" borderId="12" xfId="0" applyFont="1" applyFill="1"/>
    <xf numFmtId="0" fontId="10" fillId="14" borderId="13" xfId="0" applyFont="1" applyFill="1" applyAlignment="1">
      <alignment wrapText="1"/>
    </xf>
    <xf numFmtId="0" fontId="0" fillId="0" borderId="14" xfId="0" applyFill="1" applyBorder="1" applyAlignment="1">
      <alignment horizontal="left" vertical="top" wrapText="1"/>
    </xf>
    <xf numFmtId="167" fontId="0" fillId="0" borderId="0" xfId="0" applyNumberFormat="1"/>
    <xf numFmtId="165" fontId="4" fillId="0" borderId="0" xfId="0" applyNumberFormat="1" applyFont="1"/>
    <xf numFmtId="165" fontId="8" fillId="13" borderId="12" xfId="0" applyNumberFormat="1" applyFont="1" applyFill="1"/>
    <xf numFmtId="0" fontId="8" fillId="13" borderId="12" xfId="0" applyFont="1" applyFill="1" applyAlignment="1">
      <alignment horizontal="center"/>
    </xf>
    <xf numFmtId="0" fontId="0" fillId="12" borderId="11" xfId="0" applyFill="1" applyAlignment="1">
      <alignment horizontal="center"/>
    </xf>
    <xf numFmtId="167" fontId="0" fillId="0" borderId="15" xfId="0" applyNumberFormat="1" applyFill="1" applyBorder="1"/>
    <xf numFmtId="167" fontId="0" fillId="17" borderId="16" xfId="0" applyNumberFormat="1" applyFill="1" applyBorder="1"/>
    <xf numFmtId="10" fontId="0" fillId="0" borderId="15" xfId="0" applyNumberFormat="1" applyFill="1" applyBorder="1"/>
    <xf numFmtId="0" fontId="0" fillId="0" borderId="15" xfId="0" applyFill="1" applyBorder="1"/>
    <xf numFmtId="0" fontId="4" fillId="0" borderId="15" xfId="0" applyFont="1" applyFill="1" applyBorder="1"/>
    <xf numFmtId="0" fontId="0" fillId="0" borderId="15" xfId="0" applyFill="1" applyBorder="1" applyAlignment="1">
      <alignment horizontal="right"/>
    </xf>
    <xf numFmtId="166" fontId="0" fillId="13" borderId="12" xfId="0" applyNumberFormat="1" applyFill="1"/>
    <xf numFmtId="1" fontId="0" fillId="0" borderId="0" xfId="0" applyNumberFormat="1"/>
    <xf numFmtId="1" fontId="0" fillId="3" borderId="2" xfId="0" applyNumberFormat="1" applyFill="1"/>
    <xf numFmtId="1" fontId="10" fillId="8" borderId="7" xfId="0" applyNumberFormat="1" applyFont="1" applyFill="1" applyAlignment="1">
      <alignment horizontal="center"/>
    </xf>
    <xf numFmtId="1" fontId="2" fillId="8" borderId="7" xfId="0" applyNumberFormat="1" applyFont="1" applyFill="1" applyAlignment="1">
      <alignment wrapText="1"/>
    </xf>
    <xf numFmtId="1" fontId="2" fillId="8" borderId="7" xfId="0" applyNumberFormat="1" applyFont="1" applyFill="1"/>
    <xf numFmtId="1" fontId="9" fillId="8" borderId="7" xfId="0" applyNumberFormat="1" applyFont="1" applyFill="1" applyAlignment="1">
      <alignment wrapText="1"/>
    </xf>
    <xf numFmtId="167" fontId="0" fillId="18" borderId="17" xfId="0" applyNumberFormat="1" applyFill="1"/>
    <xf numFmtId="1" fontId="4" fillId="10" borderId="9" xfId="0" applyNumberFormat="1" applyFont="1" applyFill="1" applyAlignment="1">
      <alignment horizontal="center"/>
    </xf>
    <xf numFmtId="1" fontId="0" fillId="12" borderId="11" xfId="0" applyNumberFormat="1" applyFill="1" applyAlignment="1">
      <alignment horizontal="center"/>
    </xf>
    <xf numFmtId="1" fontId="2" fillId="19" borderId="18" xfId="0" applyNumberFormat="1" applyFont="1" applyFill="1" applyAlignment="1">
      <alignment wrapText="1"/>
    </xf>
    <xf numFmtId="1" fontId="4" fillId="10" borderId="9" xfId="0" applyNumberFormat="1" applyFont="1" applyFill="1" applyAlignment="1">
      <alignment wrapText="1"/>
    </xf>
    <xf numFmtId="167" fontId="3" fillId="0" borderId="0" xfId="0" applyNumberFormat="1" applyFont="1"/>
    <xf numFmtId="1" fontId="0" fillId="20" borderId="19" xfId="0" applyNumberFormat="1" applyFill="1"/>
    <xf numFmtId="1" fontId="4" fillId="10" borderId="9" xfId="0" applyNumberFormat="1" applyFont="1" applyFill="1"/>
    <xf numFmtId="1" fontId="2" fillId="2" borderId="1" xfId="0" applyNumberFormat="1" applyFont="1" applyFill="1"/>
    <xf numFmtId="1" fontId="2" fillId="4" borderId="3" xfId="0" applyNumberFormat="1" applyFont="1" applyFill="1" applyAlignment="1">
      <alignment wrapText="1"/>
    </xf>
    <xf numFmtId="166" fontId="4" fillId="11" borderId="10" xfId="0" applyNumberFormat="1" applyFont="1" applyFill="1" applyAlignment="1">
      <alignment horizontal="center"/>
    </xf>
    <xf numFmtId="0" fontId="15" fillId="0" borderId="0" xfId="0" applyFont="1"/>
    <xf numFmtId="164" fontId="11" fillId="5" borderId="4" xfId="0" applyNumberFormat="1" applyFont="1" applyFill="1"/>
    <xf numFmtId="1" fontId="5" fillId="0" borderId="0" xfId="0" applyNumberFormat="1" applyFont="1" applyAlignment="1">
      <alignment horizontal="right"/>
    </xf>
    <xf numFmtId="1" fontId="4" fillId="12" borderId="11" xfId="0" applyNumberFormat="1" applyFont="1" applyFill="1" applyAlignment="1">
      <alignment wrapText="1"/>
    </xf>
    <xf numFmtId="1" fontId="2" fillId="2" borderId="1" xfId="0" applyNumberFormat="1" applyFont="1" applyFill="1" applyAlignment="1">
      <alignment wrapText="1"/>
    </xf>
    <xf numFmtId="0" fontId="4" fillId="0" borderId="0" xfId="0" applyFont="1" applyAlignment="1">
      <alignment/>
      <extLst>
        <ext uri="smNativeData">
          <pm:cellMargin xmlns:pm="smNativeData" id="1783262951" l="170" r="0" t="0" b="0" textRotation="0"/>
        </ext>
      </extLst>
    </xf>
    <xf numFmtId="0" fontId="4" fillId="0" borderId="0" xfId="0" applyFont="1" applyAlignment="1">
      <alignment horizontal="center"/>
    </xf>
    <xf numFmtId="10" fontId="4" fillId="0" borderId="0" xfId="0" applyNumberFormat="1" applyFont="1" applyAlignment="1">
      <alignment horizontal="center"/>
    </xf>
    <xf numFmtId="0" fontId="17" fillId="0" borderId="0" xfId="0" applyFont="1"/>
    <xf numFmtId="1" fontId="18" fillId="8" borderId="7" xfId="0" applyNumberFormat="1" applyFont="1" applyFill="1" applyAlignment="1">
      <alignment wrapText="1"/>
    </xf>
    <xf numFmtId="1" fontId="18" fillId="10" borderId="9" xfId="0" applyNumberFormat="1" applyFont="1" applyFill="1" applyAlignment="1">
      <alignment wrapText="1"/>
    </xf>
    <xf numFmtId="1" fontId="16" fillId="10" borderId="9" xfId="0" applyNumberFormat="1" applyFont="1" applyFill="1" applyAlignment="1">
      <alignment wrapText="1"/>
    </xf>
    <xf numFmtId="1" fontId="19" fillId="8" borderId="7" xfId="0" applyNumberFormat="1" applyFont="1" applyFill="1" applyAlignment="1">
      <alignment wrapText="1"/>
    </xf>
    <xf numFmtId="1" fontId="2" fillId="21" borderId="20" xfId="0" applyNumberFormat="1" applyFont="1" applyFill="1" applyAlignment="1">
      <alignment wrapText="1"/>
    </xf>
    <xf numFmtId="1" fontId="0" fillId="22" borderId="21" xfId="0" applyNumberFormat="1" applyFill="1"/>
    <xf numFmtId="0" fontId="5" fillId="5" borderId="4" xfId="0" applyFont="1" applyFill="1"/>
    <xf numFmtId="0" fontId="11" fillId="23" borderId="22" xfId="0" applyFont="1" applyFill="1"/>
    <xf numFmtId="164" fontId="12" fillId="23" borderId="22" xfId="0" applyNumberFormat="1" applyFont="1" applyFill="1"/>
    <xf numFmtId="0" fontId="0" fillId="23" borderId="22" xfId="0" applyFill="1"/>
    <xf numFmtId="165" fontId="11" fillId="23" borderId="22" xfId="0" applyNumberFormat="1" applyFont="1" applyFill="1" applyAlignment="1">
      <alignment horizontal="right"/>
    </xf>
    <xf numFmtId="0" fontId="0" fillId="5" borderId="4" xfId="0" applyFill="1" applyAlignment="1">
      <alignment horizontal="right"/>
    </xf>
    <xf numFmtId="0" fontId="0" fillId="0" borderId="23" xfId="0" applyFill="1" applyBorder="1" applyAlignment="1">
      <alignment horizontal="left" vertical="top"/>
    </xf>
    <xf numFmtId="0" fontId="0" fillId="0" borderId="23" xfId="0" applyFill="1" applyBorder="1"/>
    <xf numFmtId="0" fontId="4" fillId="0" borderId="24" xfId="0" applyFont="1" applyFill="1" applyBorder="1"/>
    <xf numFmtId="0" fontId="0" fillId="0" borderId="24" xfId="0" applyFill="1" applyBorder="1"/>
    <xf numFmtId="0" fontId="4" fillId="0" borderId="23" xfId="0" applyFont="1" applyFill="1" applyBorder="1" applyAlignment="1">
      <alignment horizontal="left" vertical="center"/>
    </xf>
    <xf numFmtId="0" fontId="0" fillId="0" borderId="23" xfId="0" applyFill="1" applyBorder="1" applyAlignment="1">
      <alignment horizontal="left" vertical="center"/>
    </xf>
    <xf numFmtId="0" fontId="0" fillId="0" borderId="0" xfId="0" applyAlignment="1">
      <alignment horizontal="left" vertical="top" wrapText="1"/>
    </xf>
    <xf numFmtId="0" fontId="0" fillId="0" borderId="23" xfId="0" applyFill="1" applyBorder="1" applyAlignment="1">
      <alignment horizontal="left"/>
    </xf>
    <xf numFmtId="0" fontId="20" fillId="26" borderId="25" xfId="0" applyFont="1" applyFill="1" applyAlignment="1">
      <alignment horizontal="center" wrapText="1"/>
    </xf>
    <xf numFmtId="0" fontId="21" fillId="26" borderId="25" xfId="0" applyFont="1" applyFill="1" applyAlignment="1">
      <alignment horizontal="center" wrapText="1"/>
    </xf>
    <xf numFmtId="0" fontId="8" fillId="26" borderId="25" xfId="0" applyFont="1" applyFill="1" applyAlignment="1">
      <alignment horizontal="center" wrapText="1"/>
    </xf>
    <xf numFmtId="0" fontId="0" fillId="26" borderId="25" xfId="0" applyFill="1"/>
    <xf numFmtId="0" fontId="2" fillId="26" borderId="25" xfId="0" applyFont="1" applyFill="1"/>
    <xf numFmtId="0" fontId="2" fillId="27" borderId="26" xfId="0" applyFont="1" applyFill="1"/>
    <xf numFmtId="0" fontId="0" fillId="27" borderId="26" xfId="0" applyFill="1"/>
    <xf numFmtId="10" fontId="2" fillId="8" borderId="7" xfId="0" applyNumberFormat="1" applyFont="1" applyFill="1" applyAlignment="1">
      <alignment wrapText="1"/>
    </xf>
    <xf numFmtId="10" fontId="0" fillId="28" borderId="27" xfId="0" applyNumberFormat="1" applyFill="1" applyAlignment="1">
      <alignment horizontal="center" vertical="center"/>
    </xf>
    <xf numFmtId="1" fontId="0" fillId="29" borderId="28" xfId="0" applyNumberFormat="1" applyFill="1"/>
    <xf numFmtId="0" fontId="2" fillId="30" borderId="29" xfId="0" applyFont="1" applyFill="1" applyBorder="1"/>
    <xf numFmtId="0" fontId="0" fillId="0" borderId="14" xfId="0" applyFill="1" applyBorder="1" applyAlignment="1">
      <alignment horizontal="center" vertical="center"/>
    </xf>
    <xf numFmtId="0" fontId="0" fillId="0" borderId="14" xfId="0" applyFill="1" applyBorder="1" applyAlignment="1">
      <alignment horizontal="left" vertical="top"/>
    </xf>
    <xf numFmtId="1" fontId="1" fillId="31" borderId="30" xfId="0" applyNumberFormat="1" applyFont="1" applyFill="1" applyAlignment="1">
      <alignment horizontal="center"/>
    </xf>
    <xf numFmtId="1" fontId="4" fillId="31" borderId="30" xfId="0" applyNumberFormat="1" applyFont="1" applyFill="1" applyAlignment="1">
      <alignment wrapText="1"/>
    </xf>
    <xf numFmtId="168" fontId="0" fillId="0" borderId="14" xfId="0" applyNumberFormat="1" applyFill="1" applyBorder="1" applyAlignment="1">
      <alignment horizontal="center" vertical="center"/>
    </xf>
    <xf numFmtId="0" fontId="4" fillId="0" borderId="23" xfId="0" applyFont="1" applyFill="1" applyBorder="1"/>
    <xf numFmtId="0" fontId="0" fillId="0" borderId="0" xfId="0" applyAlignment="1" quotePrefix="1">
      <alignment/>
    </xf>
    <xf numFmtId="166" fontId="4" fillId="11" borderId="10" xfId="0" applyNumberFormat="1" applyFont="1" applyFill="1" applyAlignment="1" quotePrefix="1">
      <alignment/>
    </xf>
  </cellXfs>
  <cellStyles count="1">
    <cellStyle name="Normal" xfId="0" builtinId="0" customBuiltin="1"/>
  </cellStyles>
  <dxfs count="7">
    <dxf>
      <font>
        <color rgb="FFFF0000"/>
        <extLst>
          <ext uri="smNativeData">
            <pm:charSpec xmlns:pm="smNativeData" id="1783262951" fgClr="FF0000">
              <pm:latin/>
              <pm:cs/>
              <pm:ea/>
            </pm:charSpec>
          </ext>
        </extLst>
      </font>
    </dxf>
    <dxf>
      <font>
        <color rgb="FFFF0000"/>
        <extLst>
          <ext uri="smNativeData">
            <pm:charSpec xmlns:pm="smNativeData" id="1783262951" fgClr="FF0000">
              <pm:latin/>
              <pm:cs/>
              <pm:ea/>
            </pm:charSpec>
          </ext>
        </extLst>
      </font>
    </dxf>
    <dxf>
      <font>
        <color rgb="FFFF0000"/>
        <extLst>
          <ext uri="smNativeData">
            <pm:charSpec xmlns:pm="smNativeData" id="1783262951" fgClr="FF0000">
              <pm:latin/>
              <pm:cs/>
              <pm:ea/>
            </pm:charSpec>
          </ext>
        </extLst>
      </font>
    </dxf>
    <dxf>
      <font>
        <color rgb="FFFF0000"/>
        <extLst>
          <ext uri="smNativeData">
            <pm:charSpec xmlns:pm="smNativeData" id="1783262951" fgClr="FF0000">
              <pm:latin/>
              <pm:cs/>
              <pm:ea/>
            </pm:charSpec>
          </ext>
        </extLst>
      </font>
    </dxf>
    <dxf>
      <font>
        <color rgb="FFFF0000"/>
        <extLst>
          <ext uri="smNativeData">
            <pm:charSpec xmlns:pm="smNativeData" id="1783262951" fgClr="FF0000">
              <pm:latin/>
              <pm:cs/>
              <pm:ea/>
            </pm:charSpec>
          </ext>
        </extLst>
      </font>
    </dxf>
    <dxf>
      <font>
        <color rgb="FFFF0000"/>
        <extLst>
          <ext uri="smNativeData">
            <pm:charSpec xmlns:pm="smNativeData" id="1783262951" fgClr="FF0000">
              <pm:latin/>
              <pm:cs/>
              <pm:ea/>
            </pm:charSpec>
          </ext>
        </extLst>
      </font>
    </dxf>
    <dxf>
      <fill>
        <patternFill patternType="solid">
          <bgColor rgb="FFFFAE4D"/>
          <extLst>
            <ext uri="smNativeData">
              <pm:shade xmlns:pm="smNativeData" id="1783262951" type="1" fgLvl="0" fgClr="00000000" bgLvl="255" bgClr="00FFAE4D"/>
            </ext>
          </extLst>
        </patternFill>
      </fill>
    </dxf>
  </dxfs>
  <tableStyles count="0"/>
  <extLst>
    <ext uri="smNativeData">
      <pm:charStyles xmlns:pm="smNativeData" id="1783262951" count="1">
        <pm:charStyle name="Normal" fontId="0" Id="1"/>
      </pm:charStyles>
      <pm:colors xmlns:pm="smNativeData" id="1783262951" count="90">
        <pm:color name="Farbe 24" rgb="FFFFCC"/>
        <pm:color name="Farbe 25" rgb="000E00"/>
        <pm:color name="Farbe 26" rgb="808080"/>
        <pm:color name="Farbe 27" rgb="0000EE"/>
        <pm:color name="Farbe 28" rgb="CCFFCC"/>
        <pm:color name="Farbe 29" rgb="006600"/>
        <pm:color name="Farbe 30" rgb="996600"/>
        <pm:color name="Farbe 31" rgb="FFCCCC"/>
        <pm:color name="Farbe 32" rgb="CC0000"/>
        <pm:color name="Farbe 33" rgb="DDDDDD"/>
        <pm:color name="Farbe 34" rgb="4472C4"/>
        <pm:color name="Farbe 35" rgb="FFAE4D"/>
        <pm:color name="Farbe 36" rgb="558B2F"/>
        <pm:color name="Farbe 37" rgb="404001"/>
        <pm:color name="Farbe 38" rgb="A300A3"/>
        <pm:color name="Farbe 39" rgb="D100D1"/>
        <pm:color name="Farbe 40" rgb="FF5CFF"/>
        <pm:color name="Farbe 41" rgb="FF9EFF"/>
        <pm:color name="Farbe 42" rgb="FFFFE0"/>
        <pm:color name="Farbe 43" rgb="FF9E9E"/>
        <pm:color name="Farbe 44" rgb="D10000"/>
        <pm:color name="Farbe 45" rgb="018080"/>
        <pm:color name="Farbe 46" rgb="00A300"/>
        <pm:color name="Farbe 47" rgb="D1D100"/>
        <pm:color name="Farbe 48" rgb="FFFF3D"/>
        <pm:color name="Farbe 49" rgb="FF3D3D"/>
        <pm:color name="Farbe 50" rgb="FF5C5C"/>
        <pm:color name="Farbe 51" rgb="010180"/>
        <pm:color name="Farbe 52" rgb="3DFFFF"/>
        <pm:color name="Farbe 53" rgb="5CFFFF"/>
        <pm:color name="Farbe 54" rgb="00A3A3"/>
        <pm:color name="Farbe 55" rgb="FFE0E0"/>
        <pm:color name="Farbe 56" rgb="FFFF9E"/>
        <pm:color name="Farbe 57" rgb="0000D1"/>
        <pm:color name="Farbe 58" rgb="3D3DFF"/>
        <pm:color name="Farbe 59" rgb="5C5CFF"/>
        <pm:color name="Farbe 60" rgb="E0E0FF"/>
        <pm:color name="Farbe 61" rgb="242424"/>
        <pm:color name="Farbe 62" rgb="00D100"/>
        <pm:color name="Farbe 63" rgb="515100"/>
        <pm:color name="Farbe 64" rgb="00D1D1"/>
        <pm:color name="Farbe 65" rgb="018001"/>
        <pm:color name="Farbe 66" rgb="FFE0FF"/>
        <pm:color name="Farbe 67" rgb="ADAD5C"/>
        <pm:color name="Farbe 68" rgb="B5B5B5"/>
        <pm:color name="Farbe 69" rgb="D9D9D9"/>
        <pm:color name="Farbe 70" rgb="9E9E3D"/>
        <pm:color name="Farbe 71" rgb="FF3DFF"/>
        <pm:color name="Farbe 72" rgb="FFFF5C"/>
        <pm:color name="Farbe 73" rgb="E0FFFF"/>
        <pm:color name="Farbe 74" rgb="686800"/>
        <pm:color name="Farbe 75" rgb="3DFF3D"/>
        <pm:color name="Farbe 76" rgb="800180"/>
        <pm:color name="Farbe 77" rgb="0000A3"/>
        <pm:color name="Farbe 78" rgb="9EFFFF"/>
        <pm:color name="Farbe 79" rgb="5CFF5C"/>
        <pm:color name="Farbe 80" rgb="9EFF9E"/>
        <pm:color name="Farbe 81" rgb="9E9EFF"/>
        <pm:color name="Farbe 82" rgb="A3A300"/>
        <pm:color name="Blau 2" rgb="217BDE"/>
        <pm:color name="Farbe 84" rgb="E0FFE0"/>
        <pm:color name="Farbe 85" rgb="CECE9E"/>
        <pm:color name="Farbe 86" rgb="808001"/>
        <pm:color name="Farbe 87" rgb="F0F0E0"/>
        <pm:color name="Farbe 88" rgb="A30000"/>
        <pm:color name="Farbe 89" rgb="FFD7A3"/>
        <pm:color name="Farbe 90" rgb="800101"/>
        <pm:color name="Farbe 91" rgb="0000A1"/>
        <pm:color name="Farbe 92" rgb="919191"/>
        <pm:color name="Farbe 93" rgb="4040FF"/>
        <pm:color name="Farbe 94" rgb="3C8BE2"/>
        <pm:color name="Farbe 95" rgb="474747"/>
        <pm:color name="Farbe 96" rgb="599CE6"/>
        <pm:color name="Farbe 97" rgb="E2EEFB"/>
        <pm:color name="Farbe 98" rgb="90BDEF"/>
        <pm:color name="Farbe 99" rgb="ABCDF2"/>
        <pm:color name="Farbe 100" rgb="6B6B6B"/>
        <pm:color name="Farbe 101" rgb="FFE4C4"/>
        <pm:color name="Farbe 1" rgb="FF981A"/>
        <pm:color name="Farbe 103" rgb="FFE0BB"/>
        <pm:color name="Farbe 2" rgb="98FAE9"/>
        <pm:color name="Blaugrün 2" rgb="002F5E"/>
        <pm:color name="Blaugrün 2 - heller" rgb="004386"/>
        <pm:color name="Farbe 107" rgb="00A1A1"/>
        <pm:color name="Farbe 108" rgb="00BFBF"/>
        <pm:color name="Farbe 109" rgb="609E93"/>
        <pm:color name="Farbe 110" rgb="001E3C"/>
        <pm:color name="Farbe 111" rgb="1F4871"/>
        <pm:color name="Farbe 112" rgb="1F5A95"/>
        <pm:color name="Farbe 113" rgb="8097AF"/>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style val="2"/>
  <c:chart>
    <c:autoTitleDeleted val="1"/>
    <c:plotArea>
      <c:layout>
        <c:manualLayout>
          <c:xMode val="edge"/>
          <c:yMode val="edge"/>
          <c:wMode val="factor"/>
          <c:hMode val="factor"/>
          <c:x val="0.071250"/>
          <c:y val="0.053250"/>
          <c:w val="0.899000"/>
          <c:h val="0.754250"/>
        </c:manualLayout>
      </c:layout>
      <c:lineChart>
        <c:grouping val="standard"/>
        <c:ser>
          <c:idx val="17"/>
          <c:order val="0"/>
          <c:tx>
            <c:v>Gesamtvermögen</c:v>
          </c:tx>
          <c:spPr>
            <a:ln w="19050">
              <a:solidFill>
                <a:srgbClr val="0000FF"/>
              </a:solidFill>
            </a:ln>
          </c:spPr>
          <c:marker>
            <c:symbol val="dash"/>
            <c:size val="4"/>
            <c:spPr>
              <a:solidFill>
                <a:srgbClr val="0000FF"/>
              </a:solidFill>
              <a:ln>
                <a:solidFill>
                  <a:srgbClr val="0000FF"/>
                </a:solidFill>
              </a:ln>
            </c:spPr>
          </c:marker>
          <c:dLbls>
            <c:numFmt formatCode="General" sourceLinked="1"/>
            <c:spPr>
              <a:noFill/>
              <a:ln w="9525">
                <a:noFill/>
              </a:ln>
            </c:spPr>
            <c:txPr>
              <a:bodyPr/>
              <a:lstStyle/>
              <a:p>
                <a:pPr>
                  <a:defRPr lang="de-de" sz="885" b="0" i="0" u="none" strike="noStrike" kern="100">
                    <a:solidFill>
                      <a:srgbClr val="000000"/>
                    </a:solidFill>
                    <a:latin typeface="Arial" charset="0"/>
                  </a:defRPr>
                </a:pPr>
              </a:p>
            </c:txPr>
            <c:showLegendKey val="0"/>
            <c:showVal val="0"/>
            <c:showCatName val="0"/>
            <c:showSerName val="0"/>
            <c:showPercent val="0"/>
            <c:showBubbleSize val="0"/>
            <c:showLeaderLines val="0"/>
          </c:dLbls>
          <c:cat>
            <c:numRef>
              <c:f>FIRE!$A$5:$A$90</c:f>
              <c:numCache>
                <c:formatCode>General</c:formatCode>
                <c:ptCount val="86"/>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pt idx="25">
                  <c:v>2051</c:v>
                </c:pt>
                <c:pt idx="26">
                  <c:v>2052</c:v>
                </c:pt>
                <c:pt idx="27">
                  <c:v>2053</c:v>
                </c:pt>
                <c:pt idx="28">
                  <c:v>2054</c:v>
                </c:pt>
                <c:pt idx="29">
                  <c:v>2055</c:v>
                </c:pt>
                <c:pt idx="30">
                  <c:v>2056</c:v>
                </c:pt>
                <c:pt idx="31">
                  <c:v>2057</c:v>
                </c:pt>
                <c:pt idx="32">
                  <c:v>2058</c:v>
                </c:pt>
                <c:pt idx="33">
                  <c:v>2059</c:v>
                </c:pt>
                <c:pt idx="34">
                  <c:v>2060</c:v>
                </c:pt>
                <c:pt idx="35">
                  <c:v>2061</c:v>
                </c:pt>
                <c:pt idx="36">
                  <c:v>2062</c:v>
                </c:pt>
                <c:pt idx="37">
                  <c:v>2063</c:v>
                </c:pt>
                <c:pt idx="38">
                  <c:v>2064</c:v>
                </c:pt>
                <c:pt idx="39">
                  <c:v>2065</c:v>
                </c:pt>
                <c:pt idx="40">
                  <c:v>2066</c:v>
                </c:pt>
                <c:pt idx="41">
                  <c:v>2067</c:v>
                </c:pt>
                <c:pt idx="42">
                  <c:v>2068</c:v>
                </c:pt>
                <c:pt idx="43">
                  <c:v>2069</c:v>
                </c:pt>
                <c:pt idx="44">
                  <c:v>2070</c:v>
                </c:pt>
                <c:pt idx="45">
                  <c:v>2071</c:v>
                </c:pt>
                <c:pt idx="46">
                  <c:v>2072</c:v>
                </c:pt>
                <c:pt idx="47">
                  <c:v>2073</c:v>
                </c:pt>
                <c:pt idx="48">
                  <c:v>2074</c:v>
                </c:pt>
                <c:pt idx="49">
                  <c:v>2075</c:v>
                </c:pt>
                <c:pt idx="50">
                  <c:v>2076</c:v>
                </c:pt>
                <c:pt idx="51">
                  <c:v>2077</c:v>
                </c:pt>
                <c:pt idx="52">
                  <c:v>2078</c:v>
                </c:pt>
                <c:pt idx="53">
                  <c:v>2079</c:v>
                </c:pt>
                <c:pt idx="54">
                  <c:v>2080</c:v>
                </c:pt>
                <c:pt idx="55">
                  <c:v>2081</c:v>
                </c:pt>
                <c:pt idx="56">
                  <c:v>2082</c:v>
                </c:pt>
                <c:pt idx="57">
                  <c:v>2083</c:v>
                </c:pt>
                <c:pt idx="58">
                  <c:v>2084</c:v>
                </c:pt>
                <c:pt idx="59">
                  <c:v>2085</c:v>
                </c:pt>
                <c:pt idx="60">
                  <c:v>2086</c:v>
                </c:pt>
                <c:pt idx="61">
                  <c:v>2087</c:v>
                </c:pt>
                <c:pt idx="62">
                  <c:v>2088</c:v>
                </c:pt>
                <c:pt idx="63">
                  <c:v>2089</c:v>
                </c:pt>
                <c:pt idx="64">
                  <c:v>2090</c:v>
                </c:pt>
                <c:pt idx="65">
                  <c:v>2091</c:v>
                </c:pt>
                <c:pt idx="66">
                  <c:v>2092</c:v>
                </c:pt>
                <c:pt idx="67">
                  <c:v>2093</c:v>
                </c:pt>
                <c:pt idx="68">
                  <c:v>2094</c:v>
                </c:pt>
                <c:pt idx="69">
                  <c:v>2095</c:v>
                </c:pt>
                <c:pt idx="70">
                  <c:v>2096</c:v>
                </c:pt>
                <c:pt idx="71">
                  <c:v>2097</c:v>
                </c:pt>
                <c:pt idx="72">
                  <c:v>2098</c:v>
                </c:pt>
                <c:pt idx="73">
                  <c:v>2099</c:v>
                </c:pt>
                <c:pt idx="74">
                  <c:v>2100</c:v>
                </c:pt>
                <c:pt idx="75">
                  <c:v>2101</c:v>
                </c:pt>
                <c:pt idx="76">
                  <c:v>2102</c:v>
                </c:pt>
                <c:pt idx="77">
                  <c:v>2103</c:v>
                </c:pt>
                <c:pt idx="78">
                  <c:v>2104</c:v>
                </c:pt>
                <c:pt idx="79">
                  <c:v>2105</c:v>
                </c:pt>
                <c:pt idx="80">
                  <c:v>2106</c:v>
                </c:pt>
                <c:pt idx="81">
                  <c:v>2107</c:v>
                </c:pt>
                <c:pt idx="82">
                  <c:v>2108</c:v>
                </c:pt>
                <c:pt idx="83">
                  <c:v>2109</c:v>
                </c:pt>
                <c:pt idx="84">
                  <c:v>2110</c:v>
                </c:pt>
                <c:pt idx="85">
                  <c:v>2111</c:v>
                </c:pt>
              </c:numCache>
            </c:numRef>
          </c:cat>
          <c:val>
            <c:numRef>
              <c:f>FIRE!$BK$5:$BK$90</c:f>
              <c:numCache>
                <c:formatCode>#,##0\ [$€-407];[Red]\-#,##0\ [$€-407]</c:formatCode>
                <c:ptCount val="86"/>
                <c:pt idx="0">
                  <c:v>410925.374022305</c:v>
                </c:pt>
                <c:pt idx="1">
                  <c:v>429864.624060453</c:v>
                </c:pt>
                <c:pt idx="2">
                  <c:v>452970.149793449</c:v>
                </c:pt>
                <c:pt idx="3">
                  <c:v>486971.837232718</c:v>
                </c:pt>
                <c:pt idx="4">
                  <c:v>489962.296290207</c:v>
                </c:pt>
                <c:pt idx="5">
                  <c:v>518927.070262449</c:v>
                </c:pt>
                <c:pt idx="6">
                  <c:v>548901.874222119</c:v>
                </c:pt>
                <c:pt idx="7">
                  <c:v>579923.792698453</c:v>
                </c:pt>
                <c:pt idx="8">
                  <c:v>621178.111030438</c:v>
                </c:pt>
                <c:pt idx="9">
                  <c:v>664592.739077744</c:v>
                </c:pt>
                <c:pt idx="10">
                  <c:v>710233.316687776</c:v>
                </c:pt>
                <c:pt idx="11">
                  <c:v>758286.13520281</c:v>
                </c:pt>
                <c:pt idx="12">
                  <c:v>808889.176732083</c:v>
                </c:pt>
                <c:pt idx="13">
                  <c:v>862188.583391686</c:v>
                </c:pt>
                <c:pt idx="14">
                  <c:v>1014282.57485049</c:v>
                </c:pt>
                <c:pt idx="15">
                  <c:v>1070763.87684271</c:v>
                </c:pt>
                <c:pt idx="16">
                  <c:v>1130353.4561065</c:v>
                </c:pt>
                <c:pt idx="17">
                  <c:v>1193233.67743066</c:v>
                </c:pt>
                <c:pt idx="18">
                  <c:v>1259597.78664988</c:v>
                </c:pt>
                <c:pt idx="19">
                  <c:v>1266342.0660137</c:v>
                </c:pt>
                <c:pt idx="20">
                  <c:v>1272139.59980539</c:v>
                </c:pt>
                <c:pt idx="21">
                  <c:v>1276880.91515093</c:v>
                </c:pt>
                <c:pt idx="22">
                  <c:v>1270997.74710142</c:v>
                </c:pt>
                <c:pt idx="23">
                  <c:v>1263192.69800359</c:v>
                </c:pt>
                <c:pt idx="24">
                  <c:v>1253309.40360972</c:v>
                </c:pt>
                <c:pt idx="25">
                  <c:v>1241181.36342894</c:v>
                </c:pt>
                <c:pt idx="26">
                  <c:v>1226631.32863415</c:v>
                </c:pt>
                <c:pt idx="27">
                  <c:v>1209470.65803796</c:v>
                </c:pt>
                <c:pt idx="28">
                  <c:v>1189498.64145149</c:v>
                </c:pt>
                <c:pt idx="29">
                  <c:v>1166501.79007457</c:v>
                </c:pt>
                <c:pt idx="30">
                  <c:v>1214253.0940687</c:v>
                </c:pt>
                <c:pt idx="31">
                  <c:v>1186505.09510528</c:v>
                </c:pt>
                <c:pt idx="32">
                  <c:v>1155258.94080755</c:v>
                </c:pt>
                <c:pt idx="33">
                  <c:v>1120258.94515466</c:v>
                </c:pt>
                <c:pt idx="34">
                  <c:v>1081233.66729367</c:v>
                </c:pt>
                <c:pt idx="35">
                  <c:v>1037895.10255321</c:v>
                </c:pt>
                <c:pt idx="36">
                  <c:v>989937.874125532</c:v>
                </c:pt>
                <c:pt idx="37">
                  <c:v>971556.390356898</c:v>
                </c:pt>
                <c:pt idx="38">
                  <c:v>950228.646977007</c:v>
                </c:pt>
                <c:pt idx="39">
                  <c:v>925728.901567139</c:v>
                </c:pt>
                <c:pt idx="40">
                  <c:v>897817.081056551</c:v>
                </c:pt>
                <c:pt idx="41">
                  <c:v>866238.009028201</c:v>
                </c:pt>
                <c:pt idx="42">
                  <c:v>830720.620664257</c:v>
                </c:pt>
                <c:pt idx="43">
                  <c:v>790977.178379558</c:v>
                </c:pt>
                <c:pt idx="44">
                  <c:v>746702.509304577</c:v>
                </c:pt>
                <c:pt idx="45">
                  <c:v>697573.299451822</c:v>
                </c:pt>
                <c:pt idx="46">
                  <c:v>643247.50347024</c:v>
                </c:pt>
                <c:pt idx="47">
                  <c:v>583363.973602531</c:v>
                </c:pt>
                <c:pt idx="48">
                  <c:v>517542.500203332</c:v>
                </c:pt>
                <c:pt idx="49">
                  <c:v>445384.647669855</c:v>
                </c:pt>
                <c:pt idx="50">
                  <c:v>366476.230080272</c:v>
                </c:pt>
                <c:pt idx="51">
                  <c:v>280410.080933967</c:v>
                </c:pt>
                <c:pt idx="52">
                  <c:v>186791.761721436</c:v>
                </c:pt>
                <c:pt idx="53">
                  <c:v>85263.6251328653</c:v>
                </c:pt>
                <c:pt idx="54">
                  <c:v>-15245.5794590921</c:v>
                </c:pt>
                <c:pt idx="55">
                  <c:v>-16160.314226637</c:v>
                </c:pt>
                <c:pt idx="56">
                  <c:v>-17129.9330802346</c:v>
                </c:pt>
                <c:pt idx="57">
                  <c:v>-18157.729065048</c:v>
                </c:pt>
                <c:pt idx="58">
                  <c:v>-19247.1928089502</c:v>
                </c:pt>
                <c:pt idx="59">
                  <c:v>-20402.0243774865</c:v>
                </c:pt>
                <c:pt idx="60">
                  <c:v>-21626.1458401349</c:v>
                </c:pt>
                <c:pt idx="61">
                  <c:v>-22923.7145905421</c:v>
                </c:pt>
                <c:pt idx="62">
                  <c:v>-24299.1374659737</c:v>
                </c:pt>
                <c:pt idx="63">
                  <c:v>-25757.0857139312</c:v>
                </c:pt>
                <c:pt idx="64">
                  <c:v>-27302.5108567661</c:v>
                </c:pt>
                <c:pt idx="65">
                  <c:v>-28940.661508171</c:v>
                </c:pt>
                <c:pt idx="66">
                  <c:v>-30677.1011986601</c:v>
                </c:pt>
                <c:pt idx="67">
                  <c:v>-32517.7272705785</c:v>
                </c:pt>
                <c:pt idx="68">
                  <c:v>-34468.7909068119</c:v>
                </c:pt>
                <c:pt idx="69">
                  <c:v>-36536.9183612193</c:v>
                </c:pt>
                <c:pt idx="70">
                  <c:v>-38729.133462891</c:v>
                </c:pt>
                <c:pt idx="71">
                  <c:v>-41052.8814706629</c:v>
                </c:pt>
                <c:pt idx="72">
                  <c:v>-43516.0543589011</c:v>
                </c:pt>
                <c:pt idx="73">
                  <c:v>-46127.0176204335</c:v>
                </c:pt>
                <c:pt idx="74">
                  <c:v>-48894.6386776577</c:v>
                </c:pt>
                <c:pt idx="75">
                  <c:v>-51828.3169983152</c:v>
                </c:pt>
                <c:pt idx="76">
                  <c:v>-54938.0160182121</c:v>
                </c:pt>
                <c:pt idx="77">
                  <c:v>-58234.2969793027</c:v>
                </c:pt>
                <c:pt idx="78">
                  <c:v>-61728.3547980586</c:v>
                </c:pt>
                <c:pt idx="79">
                  <c:v>-65432.0560859397</c:v>
                </c:pt>
                <c:pt idx="80">
                  <c:v>-69357.9794510935</c:v>
                </c:pt>
                <c:pt idx="81">
                  <c:v>-73519.4582181564</c:v>
                </c:pt>
                <c:pt idx="82">
                  <c:v>-77930.6257112429</c:v>
                </c:pt>
                <c:pt idx="83">
                  <c:v>-82606.4632539144</c:v>
                </c:pt>
                <c:pt idx="84">
                  <c:v>-87562.851049146</c:v>
                </c:pt>
                <c:pt idx="85">
                  <c:v>-92816.6221120913</c:v>
                </c:pt>
              </c:numCache>
            </c:numRef>
          </c:val>
          <c:smooth val="0"/>
          <c:extLst>
            <c:ext xmlns:sm="smo" uri="smo">
              <sm:meanLine>
                <c:spPr>
                  <a:ln w="9525">
                    <a:noFill/>
                  </a:ln>
                </c:spPr>
              </sm:meanLine>
              <sm:minMaxLine>
                <c:spPr>
                  <a:ln w="9525">
                    <a:noFill/>
                  </a:ln>
                </c:spPr>
              </sm:minMaxLine>
              <sm:stDevLine>
                <c:spPr>
                  <a:ln w="9525">
                    <a:noFill/>
                  </a:ln>
                </c:spPr>
              </sm:stDevLine>
              <sm:trendLine>
                <c:spPr>
                  <a:ln w="9525">
                    <a:noFill/>
                  </a:ln>
                </c:spPr>
              </sm:trendLine>
            </c:ext>
          </c:extLst>
        </c:ser>
        <c:ser>
          <c:idx val="15"/>
          <c:order val="1"/>
          <c:tx>
            <c:v>Depotwert nach Rendite inkl. Einzahl. &amp; Entnahmen</c:v>
          </c:tx>
          <c:spPr>
            <a:ln w="9525">
              <a:solidFill>
                <a:srgbClr val="4472C4"/>
              </a:solidFill>
            </a:ln>
          </c:spPr>
          <c:marker>
            <c:symbol val="diamond"/>
            <c:size val="4"/>
            <c:spPr>
              <a:solidFill>
                <a:srgbClr val="4472C4"/>
              </a:solidFill>
              <a:ln>
                <a:solidFill>
                  <a:srgbClr val="4472C4"/>
                </a:solidFill>
              </a:ln>
            </c:spPr>
          </c:marker>
          <c:dLbls>
            <c:numFmt formatCode="General" sourceLinked="1"/>
            <c:spPr>
              <a:noFill/>
              <a:ln w="9525">
                <a:noFill/>
              </a:ln>
            </c:spPr>
            <c:txPr>
              <a:bodyPr/>
              <a:lstStyle/>
              <a:p>
                <a:pPr>
                  <a:defRPr lang="de-de" sz="885" b="0" i="0" u="none" strike="noStrike" kern="100">
                    <a:solidFill>
                      <a:srgbClr val="000000"/>
                    </a:solidFill>
                    <a:latin typeface="Arial" charset="0"/>
                  </a:defRPr>
                </a:pPr>
              </a:p>
            </c:txPr>
            <c:showLegendKey val="0"/>
            <c:showVal val="0"/>
            <c:showCatName val="0"/>
            <c:showSerName val="0"/>
            <c:showPercent val="0"/>
            <c:showBubbleSize val="0"/>
            <c:showLeaderLines val="0"/>
          </c:dLbls>
          <c:cat>
            <c:numRef>
              <c:f>FIRE!$A$5:$A$90</c:f>
              <c:numCache>
                <c:formatCode>General</c:formatCode>
                <c:ptCount val="86"/>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pt idx="25">
                  <c:v>2051</c:v>
                </c:pt>
                <c:pt idx="26">
                  <c:v>2052</c:v>
                </c:pt>
                <c:pt idx="27">
                  <c:v>2053</c:v>
                </c:pt>
                <c:pt idx="28">
                  <c:v>2054</c:v>
                </c:pt>
                <c:pt idx="29">
                  <c:v>2055</c:v>
                </c:pt>
                <c:pt idx="30">
                  <c:v>2056</c:v>
                </c:pt>
                <c:pt idx="31">
                  <c:v>2057</c:v>
                </c:pt>
                <c:pt idx="32">
                  <c:v>2058</c:v>
                </c:pt>
                <c:pt idx="33">
                  <c:v>2059</c:v>
                </c:pt>
                <c:pt idx="34">
                  <c:v>2060</c:v>
                </c:pt>
                <c:pt idx="35">
                  <c:v>2061</c:v>
                </c:pt>
                <c:pt idx="36">
                  <c:v>2062</c:v>
                </c:pt>
                <c:pt idx="37">
                  <c:v>2063</c:v>
                </c:pt>
                <c:pt idx="38">
                  <c:v>2064</c:v>
                </c:pt>
                <c:pt idx="39">
                  <c:v>2065</c:v>
                </c:pt>
                <c:pt idx="40">
                  <c:v>2066</c:v>
                </c:pt>
                <c:pt idx="41">
                  <c:v>2067</c:v>
                </c:pt>
                <c:pt idx="42">
                  <c:v>2068</c:v>
                </c:pt>
                <c:pt idx="43">
                  <c:v>2069</c:v>
                </c:pt>
                <c:pt idx="44">
                  <c:v>2070</c:v>
                </c:pt>
                <c:pt idx="45">
                  <c:v>2071</c:v>
                </c:pt>
                <c:pt idx="46">
                  <c:v>2072</c:v>
                </c:pt>
                <c:pt idx="47">
                  <c:v>2073</c:v>
                </c:pt>
                <c:pt idx="48">
                  <c:v>2074</c:v>
                </c:pt>
                <c:pt idx="49">
                  <c:v>2075</c:v>
                </c:pt>
                <c:pt idx="50">
                  <c:v>2076</c:v>
                </c:pt>
                <c:pt idx="51">
                  <c:v>2077</c:v>
                </c:pt>
                <c:pt idx="52">
                  <c:v>2078</c:v>
                </c:pt>
                <c:pt idx="53">
                  <c:v>2079</c:v>
                </c:pt>
                <c:pt idx="54">
                  <c:v>2080</c:v>
                </c:pt>
                <c:pt idx="55">
                  <c:v>2081</c:v>
                </c:pt>
                <c:pt idx="56">
                  <c:v>2082</c:v>
                </c:pt>
                <c:pt idx="57">
                  <c:v>2083</c:v>
                </c:pt>
                <c:pt idx="58">
                  <c:v>2084</c:v>
                </c:pt>
                <c:pt idx="59">
                  <c:v>2085</c:v>
                </c:pt>
                <c:pt idx="60">
                  <c:v>2086</c:v>
                </c:pt>
                <c:pt idx="61">
                  <c:v>2087</c:v>
                </c:pt>
                <c:pt idx="62">
                  <c:v>2088</c:v>
                </c:pt>
                <c:pt idx="63">
                  <c:v>2089</c:v>
                </c:pt>
                <c:pt idx="64">
                  <c:v>2090</c:v>
                </c:pt>
                <c:pt idx="65">
                  <c:v>2091</c:v>
                </c:pt>
                <c:pt idx="66">
                  <c:v>2092</c:v>
                </c:pt>
                <c:pt idx="67">
                  <c:v>2093</c:v>
                </c:pt>
                <c:pt idx="68">
                  <c:v>2094</c:v>
                </c:pt>
                <c:pt idx="69">
                  <c:v>2095</c:v>
                </c:pt>
                <c:pt idx="70">
                  <c:v>2096</c:v>
                </c:pt>
                <c:pt idx="71">
                  <c:v>2097</c:v>
                </c:pt>
                <c:pt idx="72">
                  <c:v>2098</c:v>
                </c:pt>
                <c:pt idx="73">
                  <c:v>2099</c:v>
                </c:pt>
                <c:pt idx="74">
                  <c:v>2100</c:v>
                </c:pt>
                <c:pt idx="75">
                  <c:v>2101</c:v>
                </c:pt>
                <c:pt idx="76">
                  <c:v>2102</c:v>
                </c:pt>
                <c:pt idx="77">
                  <c:v>2103</c:v>
                </c:pt>
                <c:pt idx="78">
                  <c:v>2104</c:v>
                </c:pt>
                <c:pt idx="79">
                  <c:v>2105</c:v>
                </c:pt>
                <c:pt idx="80">
                  <c:v>2106</c:v>
                </c:pt>
                <c:pt idx="81">
                  <c:v>2107</c:v>
                </c:pt>
                <c:pt idx="82">
                  <c:v>2108</c:v>
                </c:pt>
                <c:pt idx="83">
                  <c:v>2109</c:v>
                </c:pt>
                <c:pt idx="84">
                  <c:v>2110</c:v>
                </c:pt>
                <c:pt idx="85">
                  <c:v>2111</c:v>
                </c:pt>
              </c:numCache>
            </c:numRef>
          </c:cat>
          <c:val>
            <c:numRef>
              <c:f>FIRE!$AL$5:$AL$90</c:f>
              <c:numCache>
                <c:formatCode>#,##0\ [$€-407];[Red]\-#,##0\ [$€-407]</c:formatCode>
                <c:ptCount val="86"/>
                <c:pt idx="0">
                  <c:v>308743.646626472</c:v>
                </c:pt>
                <c:pt idx="1">
                  <c:v>324088.015728716</c:v>
                </c:pt>
                <c:pt idx="2">
                  <c:v>339892.715904027</c:v>
                </c:pt>
                <c:pt idx="3">
                  <c:v>366449.543029274</c:v>
                </c:pt>
                <c:pt idx="4">
                  <c:v>387216.745803617</c:v>
                </c:pt>
                <c:pt idx="5">
                  <c:v>408814.636688934</c:v>
                </c:pt>
                <c:pt idx="6">
                  <c:v>431276.443209664</c:v>
                </c:pt>
                <c:pt idx="7">
                  <c:v>454636.721991224</c:v>
                </c:pt>
                <c:pt idx="8">
                  <c:v>488078.189481698</c:v>
                </c:pt>
                <c:pt idx="9">
                  <c:v>523526.145021599</c:v>
                </c:pt>
                <c:pt idx="10">
                  <c:v>561100.977893893</c:v>
                </c:pt>
                <c:pt idx="11">
                  <c:v>600930.300738523</c:v>
                </c:pt>
                <c:pt idx="12">
                  <c:v>643149.382953829</c:v>
                </c:pt>
                <c:pt idx="13">
                  <c:v>687901.610102052</c:v>
                </c:pt>
                <c:pt idx="14">
                  <c:v>735338.970879167</c:v>
                </c:pt>
                <c:pt idx="15">
                  <c:v>785622.573302907</c:v>
                </c:pt>
                <c:pt idx="16">
                  <c:v>838923.191872069</c:v>
                </c:pt>
                <c:pt idx="17">
                  <c:v>895421.847555379</c:v>
                </c:pt>
                <c:pt idx="18">
                  <c:v>955310.422579685</c:v>
                </c:pt>
                <c:pt idx="19">
                  <c:v>970831.692288556</c:v>
                </c:pt>
                <c:pt idx="20">
                  <c:v>985393.517607429</c:v>
                </c:pt>
                <c:pt idx="21">
                  <c:v>998886.891311471</c:v>
                </c:pt>
                <c:pt idx="22">
                  <c:v>1001744.33220472</c:v>
                </c:pt>
                <c:pt idx="23">
                  <c:v>1002765.906003</c:v>
                </c:pt>
                <c:pt idx="24">
                  <c:v>1001798.73378055</c:v>
                </c:pt>
                <c:pt idx="25">
                  <c:v>998680.256228727</c:v>
                </c:pt>
                <c:pt idx="26">
                  <c:v>993237.673982846</c:v>
                </c:pt>
                <c:pt idx="27">
                  <c:v>985287.367045616</c:v>
                </c:pt>
                <c:pt idx="28">
                  <c:v>974634.295534402</c:v>
                </c:pt>
                <c:pt idx="29">
                  <c:v>961071.385290101</c:v>
                </c:pt>
                <c:pt idx="30">
                  <c:v>944378.903767362</c:v>
                </c:pt>
                <c:pt idx="31">
                  <c:v>928999.233169402</c:v>
                </c:pt>
                <c:pt idx="32">
                  <c:v>910308.366217193</c:v>
                </c:pt>
                <c:pt idx="33">
                  <c:v>888061.689200427</c:v>
                </c:pt>
                <c:pt idx="34">
                  <c:v>862000.614312514</c:v>
                </c:pt>
                <c:pt idx="35">
                  <c:v>831852.154098707</c:v>
                </c:pt>
                <c:pt idx="36">
                  <c:v>797328.623418943</c:v>
                </c:pt>
                <c:pt idx="37">
                  <c:v>787061.447475291</c:v>
                </c:pt>
                <c:pt idx="38">
                  <c:v>774023.941500499</c:v>
                </c:pt>
                <c:pt idx="39">
                  <c:v>757998.121897738</c:v>
                </c:pt>
                <c:pt idx="40">
                  <c:v>738752.968966266</c:v>
                </c:pt>
                <c:pt idx="41">
                  <c:v>716043.926370853</c:v>
                </c:pt>
                <c:pt idx="42">
                  <c:v>689612.475179452</c:v>
                </c:pt>
                <c:pt idx="43">
                  <c:v>659185.833161896</c:v>
                </c:pt>
                <c:pt idx="44">
                  <c:v>624476.859450249</c:v>
                </c:pt>
                <c:pt idx="45">
                  <c:v>585184.295090175</c:v>
                </c:pt>
                <c:pt idx="46">
                  <c:v>540993.560569414</c:v>
                </c:pt>
                <c:pt idx="47">
                  <c:v>491578.503295209</c:v>
                </c:pt>
                <c:pt idx="48">
                  <c:v>436604.837119826</c:v>
                </c:pt>
                <c:pt idx="49">
                  <c:v>375736.787802786</c:v>
                </c:pt>
                <c:pt idx="50">
                  <c:v>308650.361076448</c:v>
                </c:pt>
                <c:pt idx="51">
                  <c:v>235108.078983134</c:v>
                </c:pt>
                <c:pt idx="52">
                  <c:v>154992.057253996</c:v>
                </c:pt>
                <c:pt idx="53">
                  <c:v>68444.8568966176</c:v>
                </c:pt>
                <c:pt idx="54">
                  <c:v>-15245.5794590921</c:v>
                </c:pt>
                <c:pt idx="55">
                  <c:v>-16160.314226637</c:v>
                </c:pt>
                <c:pt idx="56">
                  <c:v>-17129.9330802346</c:v>
                </c:pt>
                <c:pt idx="57">
                  <c:v>-18157.729065048</c:v>
                </c:pt>
                <c:pt idx="58">
                  <c:v>-19247.1928089502</c:v>
                </c:pt>
                <c:pt idx="59">
                  <c:v>-20402.0243774865</c:v>
                </c:pt>
                <c:pt idx="60">
                  <c:v>-21626.1458401349</c:v>
                </c:pt>
                <c:pt idx="61">
                  <c:v>-22923.7145905421</c:v>
                </c:pt>
                <c:pt idx="62">
                  <c:v>-24299.1374659737</c:v>
                </c:pt>
                <c:pt idx="63">
                  <c:v>-25757.0857139312</c:v>
                </c:pt>
                <c:pt idx="64">
                  <c:v>-27302.5108567661</c:v>
                </c:pt>
                <c:pt idx="65">
                  <c:v>-28940.661508171</c:v>
                </c:pt>
                <c:pt idx="66">
                  <c:v>-30677.1011986601</c:v>
                </c:pt>
                <c:pt idx="67">
                  <c:v>-32517.7272705785</c:v>
                </c:pt>
                <c:pt idx="68">
                  <c:v>-34468.7909068119</c:v>
                </c:pt>
                <c:pt idx="69">
                  <c:v>-36536.9183612193</c:v>
                </c:pt>
                <c:pt idx="70">
                  <c:v>-38729.133462891</c:v>
                </c:pt>
                <c:pt idx="71">
                  <c:v>-41052.8814706629</c:v>
                </c:pt>
                <c:pt idx="72">
                  <c:v>-43516.0543589011</c:v>
                </c:pt>
                <c:pt idx="73">
                  <c:v>-46127.0176204335</c:v>
                </c:pt>
                <c:pt idx="74">
                  <c:v>-48894.6386776577</c:v>
                </c:pt>
                <c:pt idx="75">
                  <c:v>-51828.3169983152</c:v>
                </c:pt>
                <c:pt idx="76">
                  <c:v>-54938.0160182121</c:v>
                </c:pt>
                <c:pt idx="77">
                  <c:v>-58234.2969793027</c:v>
                </c:pt>
                <c:pt idx="78">
                  <c:v>-61728.3547980586</c:v>
                </c:pt>
                <c:pt idx="79">
                  <c:v>-65432.0560859397</c:v>
                </c:pt>
                <c:pt idx="80">
                  <c:v>-69357.9794510935</c:v>
                </c:pt>
                <c:pt idx="81">
                  <c:v>-73519.4582181564</c:v>
                </c:pt>
                <c:pt idx="82">
                  <c:v>-77930.6257112429</c:v>
                </c:pt>
                <c:pt idx="83">
                  <c:v>-82606.4632539144</c:v>
                </c:pt>
                <c:pt idx="84">
                  <c:v>-87562.851049146</c:v>
                </c:pt>
                <c:pt idx="85">
                  <c:v>-92816.6221120913</c:v>
                </c:pt>
              </c:numCache>
            </c:numRef>
          </c:val>
          <c:smooth val="0"/>
          <c:extLst>
            <c:ext xmlns:sm="smo" uri="smo">
              <sm:meanLine>
                <c:spPr>
                  <a:ln w="9525">
                    <a:noFill/>
                  </a:ln>
                </c:spPr>
              </sm:meanLine>
              <sm:minMaxLine>
                <c:spPr>
                  <a:ln w="9525">
                    <a:noFill/>
                  </a:ln>
                </c:spPr>
              </sm:minMaxLine>
              <sm:stDevLine>
                <c:spPr>
                  <a:ln w="9525">
                    <a:noFill/>
                  </a:ln>
                </c:spPr>
              </sm:stDevLine>
              <sm:trendLine>
                <c:spPr>
                  <a:ln w="9525">
                    <a:noFill/>
                  </a:ln>
                </c:spPr>
              </sm:trendLine>
            </c:ext>
          </c:extLst>
        </c:ser>
        <c:ser>
          <c:idx val="16"/>
          <c:order val="2"/>
          <c:tx>
            <c:v>Festgeldbestand nach Zinsen inkl. Einzahl. &amp; Entnahmen</c:v>
          </c:tx>
          <c:spPr>
            <a:ln w="9525">
              <a:solidFill>
                <a:srgbClr val="90BDEF"/>
              </a:solidFill>
            </a:ln>
          </c:spPr>
          <c:marker>
            <c:symbol val="circle"/>
            <c:size val="4"/>
            <c:spPr>
              <a:solidFill>
                <a:srgbClr val="90BDEF"/>
              </a:solidFill>
              <a:ln>
                <a:solidFill>
                  <a:srgbClr val="90BDEF"/>
                </a:solidFill>
              </a:ln>
            </c:spPr>
          </c:marker>
          <c:dLbls>
            <c:numFmt formatCode="General" sourceLinked="1"/>
            <c:spPr>
              <a:noFill/>
              <a:ln w="9525">
                <a:noFill/>
              </a:ln>
            </c:spPr>
            <c:txPr>
              <a:bodyPr/>
              <a:lstStyle/>
              <a:p>
                <a:pPr>
                  <a:defRPr lang="de-de" sz="885" b="0" i="0" u="none" strike="noStrike" kern="100">
                    <a:solidFill>
                      <a:srgbClr val="000000"/>
                    </a:solidFill>
                    <a:latin typeface="Arial" charset="0"/>
                  </a:defRPr>
                </a:pPr>
              </a:p>
            </c:txPr>
            <c:showLegendKey val="0"/>
            <c:showVal val="0"/>
            <c:showCatName val="0"/>
            <c:showSerName val="0"/>
            <c:showPercent val="0"/>
            <c:showBubbleSize val="0"/>
            <c:showLeaderLines val="0"/>
          </c:dLbls>
          <c:cat>
            <c:numRef>
              <c:f>FIRE!$A$5:$A$90</c:f>
              <c:numCache>
                <c:formatCode>General</c:formatCode>
                <c:ptCount val="86"/>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pt idx="25">
                  <c:v>2051</c:v>
                </c:pt>
                <c:pt idx="26">
                  <c:v>2052</c:v>
                </c:pt>
                <c:pt idx="27">
                  <c:v>2053</c:v>
                </c:pt>
                <c:pt idx="28">
                  <c:v>2054</c:v>
                </c:pt>
                <c:pt idx="29">
                  <c:v>2055</c:v>
                </c:pt>
                <c:pt idx="30">
                  <c:v>2056</c:v>
                </c:pt>
                <c:pt idx="31">
                  <c:v>2057</c:v>
                </c:pt>
                <c:pt idx="32">
                  <c:v>2058</c:v>
                </c:pt>
                <c:pt idx="33">
                  <c:v>2059</c:v>
                </c:pt>
                <c:pt idx="34">
                  <c:v>2060</c:v>
                </c:pt>
                <c:pt idx="35">
                  <c:v>2061</c:v>
                </c:pt>
                <c:pt idx="36">
                  <c:v>2062</c:v>
                </c:pt>
                <c:pt idx="37">
                  <c:v>2063</c:v>
                </c:pt>
                <c:pt idx="38">
                  <c:v>2064</c:v>
                </c:pt>
                <c:pt idx="39">
                  <c:v>2065</c:v>
                </c:pt>
                <c:pt idx="40">
                  <c:v>2066</c:v>
                </c:pt>
                <c:pt idx="41">
                  <c:v>2067</c:v>
                </c:pt>
                <c:pt idx="42">
                  <c:v>2068</c:v>
                </c:pt>
                <c:pt idx="43">
                  <c:v>2069</c:v>
                </c:pt>
                <c:pt idx="44">
                  <c:v>2070</c:v>
                </c:pt>
                <c:pt idx="45">
                  <c:v>2071</c:v>
                </c:pt>
                <c:pt idx="46">
                  <c:v>2072</c:v>
                </c:pt>
                <c:pt idx="47">
                  <c:v>2073</c:v>
                </c:pt>
                <c:pt idx="48">
                  <c:v>2074</c:v>
                </c:pt>
                <c:pt idx="49">
                  <c:v>2075</c:v>
                </c:pt>
                <c:pt idx="50">
                  <c:v>2076</c:v>
                </c:pt>
                <c:pt idx="51">
                  <c:v>2077</c:v>
                </c:pt>
                <c:pt idx="52">
                  <c:v>2078</c:v>
                </c:pt>
                <c:pt idx="53">
                  <c:v>2079</c:v>
                </c:pt>
                <c:pt idx="54">
                  <c:v>2080</c:v>
                </c:pt>
                <c:pt idx="55">
                  <c:v>2081</c:v>
                </c:pt>
                <c:pt idx="56">
                  <c:v>2082</c:v>
                </c:pt>
                <c:pt idx="57">
                  <c:v>2083</c:v>
                </c:pt>
                <c:pt idx="58">
                  <c:v>2084</c:v>
                </c:pt>
                <c:pt idx="59">
                  <c:v>2085</c:v>
                </c:pt>
                <c:pt idx="60">
                  <c:v>2086</c:v>
                </c:pt>
                <c:pt idx="61">
                  <c:v>2087</c:v>
                </c:pt>
                <c:pt idx="62">
                  <c:v>2088</c:v>
                </c:pt>
                <c:pt idx="63">
                  <c:v>2089</c:v>
                </c:pt>
                <c:pt idx="64">
                  <c:v>2090</c:v>
                </c:pt>
                <c:pt idx="65">
                  <c:v>2091</c:v>
                </c:pt>
                <c:pt idx="66">
                  <c:v>2092</c:v>
                </c:pt>
                <c:pt idx="67">
                  <c:v>2093</c:v>
                </c:pt>
                <c:pt idx="68">
                  <c:v>2094</c:v>
                </c:pt>
                <c:pt idx="69">
                  <c:v>2095</c:v>
                </c:pt>
                <c:pt idx="70">
                  <c:v>2096</c:v>
                </c:pt>
                <c:pt idx="71">
                  <c:v>2097</c:v>
                </c:pt>
                <c:pt idx="72">
                  <c:v>2098</c:v>
                </c:pt>
                <c:pt idx="73">
                  <c:v>2099</c:v>
                </c:pt>
                <c:pt idx="74">
                  <c:v>2100</c:v>
                </c:pt>
                <c:pt idx="75">
                  <c:v>2101</c:v>
                </c:pt>
                <c:pt idx="76">
                  <c:v>2102</c:v>
                </c:pt>
                <c:pt idx="77">
                  <c:v>2103</c:v>
                </c:pt>
                <c:pt idx="78">
                  <c:v>2104</c:v>
                </c:pt>
                <c:pt idx="79">
                  <c:v>2105</c:v>
                </c:pt>
                <c:pt idx="80">
                  <c:v>2106</c:v>
                </c:pt>
                <c:pt idx="81">
                  <c:v>2107</c:v>
                </c:pt>
                <c:pt idx="82">
                  <c:v>2108</c:v>
                </c:pt>
                <c:pt idx="83">
                  <c:v>2109</c:v>
                </c:pt>
                <c:pt idx="84">
                  <c:v>2110</c:v>
                </c:pt>
                <c:pt idx="85">
                  <c:v>2111</c:v>
                </c:pt>
              </c:numCache>
            </c:numRef>
          </c:cat>
          <c:val>
            <c:numRef>
              <c:f>FIRE!$BJ$5:$BJ$90</c:f>
              <c:numCache>
                <c:formatCode>#,##0\ [$€-407];[Red]\-#,##0\ [$€-407]</c:formatCode>
                <c:ptCount val="86"/>
                <c:pt idx="0">
                  <c:v>102181.727395833</c:v>
                </c:pt>
                <c:pt idx="1">
                  <c:v>105776.608331737</c:v>
                </c:pt>
                <c:pt idx="2">
                  <c:v>113077.433889422</c:v>
                </c:pt>
                <c:pt idx="3">
                  <c:v>120522.294203444</c:v>
                </c:pt>
                <c:pt idx="4">
                  <c:v>102745.55048659</c:v>
                </c:pt>
                <c:pt idx="5">
                  <c:v>110112.433573515</c:v>
                </c:pt>
                <c:pt idx="6">
                  <c:v>117625.431012455</c:v>
                </c:pt>
                <c:pt idx="7">
                  <c:v>125287.070707229</c:v>
                </c:pt>
                <c:pt idx="8">
                  <c:v>133099.92154874</c:v>
                </c:pt>
                <c:pt idx="9">
                  <c:v>141066.594056145</c:v>
                </c:pt>
                <c:pt idx="10">
                  <c:v>149132.338793883</c:v>
                </c:pt>
                <c:pt idx="11">
                  <c:v>157355.834464287</c:v>
                </c:pt>
                <c:pt idx="12">
                  <c:v>165739.793778254</c:v>
                </c:pt>
                <c:pt idx="13">
                  <c:v>174286.973289634</c:v>
                </c:pt>
                <c:pt idx="14">
                  <c:v>278943.603971324</c:v>
                </c:pt>
                <c:pt idx="15">
                  <c:v>285141.303539802</c:v>
                </c:pt>
                <c:pt idx="16">
                  <c:v>291430.264234426</c:v>
                </c:pt>
                <c:pt idx="17">
                  <c:v>297811.829875278</c:v>
                </c:pt>
                <c:pt idx="18">
                  <c:v>304287.364070192</c:v>
                </c:pt>
                <c:pt idx="19">
                  <c:v>295510.373725143</c:v>
                </c:pt>
                <c:pt idx="20">
                  <c:v>286746.082197962</c:v>
                </c:pt>
                <c:pt idx="21">
                  <c:v>277994.023839457</c:v>
                </c:pt>
                <c:pt idx="22">
                  <c:v>269253.414896695</c:v>
                </c:pt>
                <c:pt idx="23">
                  <c:v>260426.792000586</c:v>
                </c:pt>
                <c:pt idx="24">
                  <c:v>251510.669829171</c:v>
                </c:pt>
                <c:pt idx="25">
                  <c:v>242501.107200213</c:v>
                </c:pt>
                <c:pt idx="26">
                  <c:v>233393.654651306</c:v>
                </c:pt>
                <c:pt idx="27">
                  <c:v>224183.290992346</c:v>
                </c:pt>
                <c:pt idx="28">
                  <c:v>214864.345917085</c:v>
                </c:pt>
                <c:pt idx="29">
                  <c:v>205430.404784471</c:v>
                </c:pt>
                <c:pt idx="30">
                  <c:v>269874.190301335</c:v>
                </c:pt>
                <c:pt idx="31">
                  <c:v>257505.861935874</c:v>
                </c:pt>
                <c:pt idx="32">
                  <c:v>244950.574590352</c:v>
                </c:pt>
                <c:pt idx="33">
                  <c:v>232197.255954229</c:v>
                </c:pt>
                <c:pt idx="34">
                  <c:v>219233.052981153</c:v>
                </c:pt>
                <c:pt idx="35">
                  <c:v>206042.948454503</c:v>
                </c:pt>
                <c:pt idx="36">
                  <c:v>192609.250706589</c:v>
                </c:pt>
                <c:pt idx="37">
                  <c:v>184494.942881607</c:v>
                </c:pt>
                <c:pt idx="38">
                  <c:v>176204.705476508</c:v>
                </c:pt>
                <c:pt idx="39">
                  <c:v>167730.779669401</c:v>
                </c:pt>
                <c:pt idx="40">
                  <c:v>159064.112090285</c:v>
                </c:pt>
                <c:pt idx="41">
                  <c:v>150194.082657348</c:v>
                </c:pt>
                <c:pt idx="42">
                  <c:v>141108.145484805</c:v>
                </c:pt>
                <c:pt idx="43">
                  <c:v>131791.345217662</c:v>
                </c:pt>
                <c:pt idx="44">
                  <c:v>122225.649854328</c:v>
                </c:pt>
                <c:pt idx="45">
                  <c:v>112389.004361647</c:v>
                </c:pt>
                <c:pt idx="46">
                  <c:v>102253.942900826</c:v>
                </c:pt>
                <c:pt idx="47">
                  <c:v>91785.4703073223</c:v>
                </c:pt>
                <c:pt idx="48">
                  <c:v>80937.6630835063</c:v>
                </c:pt>
                <c:pt idx="49">
                  <c:v>69647.859867069</c:v>
                </c:pt>
                <c:pt idx="50">
                  <c:v>57825.8690038243</c:v>
                </c:pt>
                <c:pt idx="51">
                  <c:v>45302.0019508333</c:v>
                </c:pt>
                <c:pt idx="52">
                  <c:v>31799.7044674397</c:v>
                </c:pt>
                <c:pt idx="53">
                  <c:v>16818.7682362477</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smooth val="0"/>
          <c:extLst>
            <c:ext xmlns:sm="smo" uri="smo">
              <sm:meanLine>
                <c:spPr>
                  <a:ln w="9525">
                    <a:noFill/>
                  </a:ln>
                </c:spPr>
              </sm:meanLine>
              <sm:minMaxLine>
                <c:spPr>
                  <a:ln w="9525">
                    <a:noFill/>
                  </a:ln>
                </c:spPr>
              </sm:minMaxLine>
              <sm:stDevLine>
                <c:spPr>
                  <a:ln w="9525">
                    <a:noFill/>
                  </a:ln>
                </c:spPr>
              </sm:stDevLine>
              <sm:trendLine>
                <c:spPr>
                  <a:ln w="9525">
                    <a:noFill/>
                  </a:ln>
                </c:spPr>
              </sm:trendLine>
            </c:ext>
          </c:extLst>
        </c:ser>
        <c:ser>
          <c:idx val="13"/>
          <c:order val="3"/>
          <c:tx>
            <c:v>Benötigte Entnahme (nach Inflation und regelm. Einkünften/Ausgaben)</c:v>
          </c:tx>
          <c:spPr>
            <a:ln w="19050">
              <a:solidFill>
                <a:srgbClr val="D89391"/>
              </a:solidFill>
            </a:ln>
          </c:spPr>
          <c:dLbls>
            <c:numFmt formatCode="General" sourceLinked="1"/>
            <c:spPr>
              <a:noFill/>
              <a:ln w="9525">
                <a:noFill/>
              </a:ln>
            </c:spPr>
            <c:txPr>
              <a:bodyPr/>
              <a:lstStyle/>
              <a:p>
                <a:pPr>
                  <a:defRPr lang="de-de" sz="885" b="0" i="0" u="none" strike="noStrike" kern="100">
                    <a:solidFill>
                      <a:srgbClr val="000000"/>
                    </a:solidFill>
                    <a:latin typeface="Arial" charset="0"/>
                  </a:defRPr>
                </a:pPr>
              </a:p>
            </c:txPr>
            <c:showLegendKey val="0"/>
            <c:showVal val="0"/>
            <c:showCatName val="0"/>
            <c:showSerName val="0"/>
            <c:showPercent val="0"/>
            <c:showBubbleSize val="0"/>
            <c:showLeaderLines val="0"/>
          </c:dLbls>
          <c:cat>
            <c:numRef>
              <c:f>FIRE!$A$5:$A$90</c:f>
              <c:numCache>
                <c:formatCode>General</c:formatCode>
                <c:ptCount val="86"/>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pt idx="25">
                  <c:v>2051</c:v>
                </c:pt>
                <c:pt idx="26">
                  <c:v>2052</c:v>
                </c:pt>
                <c:pt idx="27">
                  <c:v>2053</c:v>
                </c:pt>
                <c:pt idx="28">
                  <c:v>2054</c:v>
                </c:pt>
                <c:pt idx="29">
                  <c:v>2055</c:v>
                </c:pt>
                <c:pt idx="30">
                  <c:v>2056</c:v>
                </c:pt>
                <c:pt idx="31">
                  <c:v>2057</c:v>
                </c:pt>
                <c:pt idx="32">
                  <c:v>2058</c:v>
                </c:pt>
                <c:pt idx="33">
                  <c:v>2059</c:v>
                </c:pt>
                <c:pt idx="34">
                  <c:v>2060</c:v>
                </c:pt>
                <c:pt idx="35">
                  <c:v>2061</c:v>
                </c:pt>
                <c:pt idx="36">
                  <c:v>2062</c:v>
                </c:pt>
                <c:pt idx="37">
                  <c:v>2063</c:v>
                </c:pt>
                <c:pt idx="38">
                  <c:v>2064</c:v>
                </c:pt>
                <c:pt idx="39">
                  <c:v>2065</c:v>
                </c:pt>
                <c:pt idx="40">
                  <c:v>2066</c:v>
                </c:pt>
                <c:pt idx="41">
                  <c:v>2067</c:v>
                </c:pt>
                <c:pt idx="42">
                  <c:v>2068</c:v>
                </c:pt>
                <c:pt idx="43">
                  <c:v>2069</c:v>
                </c:pt>
                <c:pt idx="44">
                  <c:v>2070</c:v>
                </c:pt>
                <c:pt idx="45">
                  <c:v>2071</c:v>
                </c:pt>
                <c:pt idx="46">
                  <c:v>2072</c:v>
                </c:pt>
                <c:pt idx="47">
                  <c:v>2073</c:v>
                </c:pt>
                <c:pt idx="48">
                  <c:v>2074</c:v>
                </c:pt>
                <c:pt idx="49">
                  <c:v>2075</c:v>
                </c:pt>
                <c:pt idx="50">
                  <c:v>2076</c:v>
                </c:pt>
                <c:pt idx="51">
                  <c:v>2077</c:v>
                </c:pt>
                <c:pt idx="52">
                  <c:v>2078</c:v>
                </c:pt>
                <c:pt idx="53">
                  <c:v>2079</c:v>
                </c:pt>
                <c:pt idx="54">
                  <c:v>2080</c:v>
                </c:pt>
                <c:pt idx="55">
                  <c:v>2081</c:v>
                </c:pt>
                <c:pt idx="56">
                  <c:v>2082</c:v>
                </c:pt>
                <c:pt idx="57">
                  <c:v>2083</c:v>
                </c:pt>
                <c:pt idx="58">
                  <c:v>2084</c:v>
                </c:pt>
                <c:pt idx="59">
                  <c:v>2085</c:v>
                </c:pt>
                <c:pt idx="60">
                  <c:v>2086</c:v>
                </c:pt>
                <c:pt idx="61">
                  <c:v>2087</c:v>
                </c:pt>
                <c:pt idx="62">
                  <c:v>2088</c:v>
                </c:pt>
                <c:pt idx="63">
                  <c:v>2089</c:v>
                </c:pt>
                <c:pt idx="64">
                  <c:v>2090</c:v>
                </c:pt>
                <c:pt idx="65">
                  <c:v>2091</c:v>
                </c:pt>
                <c:pt idx="66">
                  <c:v>2092</c:v>
                </c:pt>
                <c:pt idx="67">
                  <c:v>2093</c:v>
                </c:pt>
                <c:pt idx="68">
                  <c:v>2094</c:v>
                </c:pt>
                <c:pt idx="69">
                  <c:v>2095</c:v>
                </c:pt>
                <c:pt idx="70">
                  <c:v>2096</c:v>
                </c:pt>
                <c:pt idx="71">
                  <c:v>2097</c:v>
                </c:pt>
                <c:pt idx="72">
                  <c:v>2098</c:v>
                </c:pt>
                <c:pt idx="73">
                  <c:v>2099</c:v>
                </c:pt>
                <c:pt idx="74">
                  <c:v>2100</c:v>
                </c:pt>
                <c:pt idx="75">
                  <c:v>2101</c:v>
                </c:pt>
                <c:pt idx="76">
                  <c:v>2102</c:v>
                </c:pt>
                <c:pt idx="77">
                  <c:v>2103</c:v>
                </c:pt>
                <c:pt idx="78">
                  <c:v>2104</c:v>
                </c:pt>
                <c:pt idx="79">
                  <c:v>2105</c:v>
                </c:pt>
                <c:pt idx="80">
                  <c:v>2106</c:v>
                </c:pt>
                <c:pt idx="81">
                  <c:v>2107</c:v>
                </c:pt>
                <c:pt idx="82">
                  <c:v>2108</c:v>
                </c:pt>
                <c:pt idx="83">
                  <c:v>2109</c:v>
                </c:pt>
                <c:pt idx="84">
                  <c:v>2110</c:v>
                </c:pt>
                <c:pt idx="85">
                  <c:v>2111</c:v>
                </c:pt>
              </c:numCache>
            </c:numRef>
          </c:cat>
          <c:val>
            <c:numRef>
              <c:f>FIRE!$N$5:$N$90</c:f>
              <c:numCache>
                <c:formatCode>#,##0\ [$€-1]</c:formatCode>
                <c:ptCount val="8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55159.5055694751</c:v>
                </c:pt>
                <c:pt idx="20">
                  <c:v>56502.4932087117</c:v>
                </c:pt>
                <c:pt idx="21">
                  <c:v>57878.3355389295</c:v>
                </c:pt>
                <c:pt idx="22">
                  <c:v>59287.839527403</c:v>
                </c:pt>
                <c:pt idx="23">
                  <c:v>60731.832027588</c:v>
                </c:pt>
                <c:pt idx="24">
                  <c:v>62211.1602705177</c:v>
                </c:pt>
                <c:pt idx="25">
                  <c:v>63726.6923683653</c:v>
                </c:pt>
                <c:pt idx="26">
                  <c:v>65279.3178304811</c:v>
                </c:pt>
                <c:pt idx="27">
                  <c:v>66869.9480922077</c:v>
                </c:pt>
                <c:pt idx="28">
                  <c:v>68499.5170567966</c:v>
                </c:pt>
                <c:pt idx="29">
                  <c:v>70168.9816507462</c:v>
                </c:pt>
                <c:pt idx="30">
                  <c:v>71879.3223928952</c:v>
                </c:pt>
                <c:pt idx="31">
                  <c:v>73631.5439776153</c:v>
                </c:pt>
                <c:pt idx="32">
                  <c:v>75426.6758724514</c:v>
                </c:pt>
                <c:pt idx="33">
                  <c:v>77265.7729305663</c:v>
                </c:pt>
                <c:pt idx="34">
                  <c:v>79149.9160183603</c:v>
                </c:pt>
                <c:pt idx="35">
                  <c:v>81080.2126586396</c:v>
                </c:pt>
                <c:pt idx="36">
                  <c:v>83057.7976897222</c:v>
                </c:pt>
                <c:pt idx="37">
                  <c:v>56800.4609583252</c:v>
                </c:pt>
                <c:pt idx="38">
                  <c:v>58490.4724822833</c:v>
                </c:pt>
                <c:pt idx="39">
                  <c:v>60225.4342943403</c:v>
                </c:pt>
                <c:pt idx="40">
                  <c:v>62006.4971516988</c:v>
                </c:pt>
                <c:pt idx="41">
                  <c:v>63834.8408504913</c:v>
                </c:pt>
                <c:pt idx="42">
                  <c:v>65711.6749544538</c:v>
                </c:pt>
                <c:pt idx="43">
                  <c:v>67638.2395418421</c:v>
                </c:pt>
                <c:pt idx="44">
                  <c:v>69615.8059710502</c:v>
                </c:pt>
                <c:pt idx="45">
                  <c:v>71645.6776653955</c:v>
                </c:pt>
                <c:pt idx="46">
                  <c:v>73729.1909175499</c:v>
                </c:pt>
                <c:pt idx="47">
                  <c:v>75867.7157141136</c:v>
                </c:pt>
                <c:pt idx="48">
                  <c:v>78062.6565808271</c:v>
                </c:pt>
                <c:pt idx="49">
                  <c:v>80315.4534489475</c:v>
                </c:pt>
                <c:pt idx="50">
                  <c:v>82627.5825433068</c:v>
                </c:pt>
                <c:pt idx="51">
                  <c:v>85000.5572926068</c:v>
                </c:pt>
                <c:pt idx="52">
                  <c:v>87435.929262496</c:v>
                </c:pt>
                <c:pt idx="53">
                  <c:v>89935.2891120084</c:v>
                </c:pt>
                <c:pt idx="54">
                  <c:v>92500.2675739381</c:v>
                </c:pt>
                <c:pt idx="55">
                  <c:v>95132.5364597569</c:v>
                </c:pt>
                <c:pt idx="56">
                  <c:v>97833.8096896865</c:v>
                </c:pt>
                <c:pt idx="57">
                  <c:v>100605.844348548</c:v>
                </c:pt>
                <c:pt idx="58">
                  <c:v>103450.441768048</c:v>
                </c:pt>
                <c:pt idx="59">
                  <c:v>106369.448636142</c:v>
                </c:pt>
                <c:pt idx="60">
                  <c:v>109364.758134179</c:v>
                </c:pt>
                <c:pt idx="61">
                  <c:v>112438.311102488</c:v>
                </c:pt>
                <c:pt idx="62">
                  <c:v>115592.097235153</c:v>
                </c:pt>
                <c:pt idx="63">
                  <c:v>118828.156304687</c:v>
                </c:pt>
                <c:pt idx="64">
                  <c:v>122148.579417346</c:v>
                </c:pt>
                <c:pt idx="65">
                  <c:v>125555.510299871</c:v>
                </c:pt>
                <c:pt idx="66">
                  <c:v>129051.14661843</c:v>
                </c:pt>
                <c:pt idx="67">
                  <c:v>132637.741330564</c:v>
                </c:pt>
                <c:pt idx="68">
                  <c:v>136317.604070968</c:v>
                </c:pt>
                <c:pt idx="69">
                  <c:v>140093.102571953</c:v>
                </c:pt>
                <c:pt idx="70">
                  <c:v>143966.664119455</c:v>
                </c:pt>
                <c:pt idx="71">
                  <c:v>147940.777045477</c:v>
                </c:pt>
                <c:pt idx="72">
                  <c:v>152017.99225788</c:v>
                </c:pt>
                <c:pt idx="73">
                  <c:v>156200.924808456</c:v>
                </c:pt>
                <c:pt idx="74">
                  <c:v>160492.255500236</c:v>
                </c:pt>
                <c:pt idx="75">
                  <c:v>164894.732535027</c:v>
                </c:pt>
                <c:pt idx="76">
                  <c:v>169411.173202162</c:v>
                </c:pt>
                <c:pt idx="77">
                  <c:v>174044.465609511</c:v>
                </c:pt>
                <c:pt idx="78">
                  <c:v>178797.570457818</c:v>
                </c:pt>
                <c:pt idx="79">
                  <c:v>183673.522859413</c:v>
                </c:pt>
                <c:pt idx="80">
                  <c:v>188675.434202449</c:v>
                </c:pt>
                <c:pt idx="81">
                  <c:v>193806.494061776</c:v>
                </c:pt>
                <c:pt idx="82">
                  <c:v>199069.972157631</c:v>
                </c:pt>
                <c:pt idx="83">
                  <c:v>204469.220363323</c:v>
                </c:pt>
                <c:pt idx="84">
                  <c:v>210007.674763177</c:v>
                </c:pt>
                <c:pt idx="85">
                  <c:v>215688.857761934</c:v>
                </c:pt>
              </c:numCache>
            </c:numRef>
          </c:val>
          <c:smooth val="0"/>
          <c:extLst>
            <c:ext xmlns:sm="smo" uri="smo">
              <sm:meanLine>
                <c:spPr>
                  <a:ln w="9525">
                    <a:noFill/>
                  </a:ln>
                </c:spPr>
              </sm:meanLine>
              <sm:minMaxLine>
                <c:spPr>
                  <a:ln w="9525">
                    <a:noFill/>
                  </a:ln>
                </c:spPr>
              </sm:minMaxLine>
              <sm:stDevLine>
                <c:spPr>
                  <a:ln w="9525">
                    <a:noFill/>
                  </a:ln>
                </c:spPr>
              </sm:stDevLine>
              <sm:trendLine>
                <c:spPr>
                  <a:ln w="9525">
                    <a:noFill/>
                  </a:ln>
                </c:spPr>
              </sm:trendLine>
            </c:ext>
          </c:extLst>
        </c:ser>
        <c:dLbls>
          <c:showLegendKey val="0"/>
          <c:showVal val="0"/>
          <c:showCatName val="0"/>
          <c:showSerName val="0"/>
          <c:showPercent val="0"/>
          <c:showBubbleSize val="0"/>
          <c:showLeaderLines val="0"/>
        </c:dLbls>
        <c:marker val="1"/>
        <c:extLst>
          <c:ext xmlns:sm="smo" uri="smo">
            <sm:boxPlot xmlns:sm="smo" val="0"/>
            <sm:turned xmlns:sm="smo" val="0"/>
          </c:ext>
        </c:extLst>
        <c:axId val="10"/>
        <c:axId val="11"/>
      </c:lineChart>
      <c:catAx>
        <c:axId val="10"/>
        <c:scaling>
          <c:orientation val="minMax"/>
        </c:scaling>
        <c:delete val="0"/>
        <c:axPos val="b"/>
        <c:numFmt formatCode="General" sourceLinked="1"/>
        <c:majorTickMark val="cross"/>
        <c:minorTickMark val="none"/>
        <c:tickLblPos val="nextTo"/>
        <c:txPr>
          <a:bodyPr rot="-5400000"/>
          <a:lstStyle/>
          <a:p>
            <a:pPr>
              <a:defRPr lang="de-de" sz="1040" b="0" i="0" u="none" strike="noStrike" kern="100">
                <a:solidFill>
                  <a:srgbClr val="000000"/>
                </a:solidFill>
                <a:latin typeface="Arial" charset="0"/>
              </a:defRPr>
            </a:pPr>
          </a:p>
        </c:txPr>
        <c:crossAx val="11"/>
        <c:crosses val="autoZero"/>
        <c:auto val="1"/>
      </c:catAx>
      <c:valAx>
        <c:axId val="11"/>
        <c:scaling>
          <c:orientation val="minMax"/>
          <c:min val="0.000000"/>
        </c:scaling>
        <c:delete val="0"/>
        <c:axPos val="l"/>
        <c:majorGridlines/>
        <c:minorGridlines>
          <c:spPr>
            <a:ln w="9525">
              <a:solidFill>
                <a:srgbClr val="CCCCCC"/>
              </a:solidFill>
            </a:ln>
          </c:spPr>
        </c:minorGridlines>
        <c:numFmt formatCode="#,##0\ [$€-1]" sourceLinked="0"/>
        <c:majorTickMark val="cross"/>
        <c:minorTickMark val="none"/>
        <c:tickLblPos val="nextTo"/>
        <c:txPr>
          <a:bodyPr/>
          <a:lstStyle/>
          <a:p>
            <a:pPr>
              <a:defRPr lang="de-de" sz="855" b="0" i="0" u="none" strike="noStrike" kern="100">
                <a:solidFill>
                  <a:srgbClr val="000000"/>
                </a:solidFill>
                <a:latin typeface="Arial" charset="0"/>
              </a:defRPr>
            </a:pPr>
          </a:p>
        </c:txPr>
        <c:crossAx val="10"/>
        <c:crosses val="autoZero"/>
        <c:crossBetween val="between"/>
      </c:valAx>
    </c:plotArea>
    <c:legend>
      <c:legendPos val="b"/>
      <c:layout/>
      <c:overlay val="0"/>
      <c:spPr>
        <a:ln w="9525">
          <a:noFill/>
        </a:ln>
      </c:spPr>
      <c:txPr>
        <a:bodyPr anchor="t" numCol="4"/>
        <a:lstStyle/>
        <a:p>
          <a:pPr>
            <a:defRPr lang="de-de" sz="1040" b="0" i="0" u="none" strike="noStrike" kern="100">
              <a:solidFill>
                <a:srgbClr val="000000"/>
              </a:solidFill>
              <a:latin typeface="Arial" charset="0"/>
            </a:defRPr>
          </a:pPr>
        </a:p>
      </c:txPr>
    </c:legend>
    <c:plotVisOnly val="1"/>
    <c:dispBlanksAs val="gap"/>
  </c:chart>
  <c:spPr/>
  <c:txPr>
    <a:bodyPr anchor="ctr" anchorCtr="1" rot="0"/>
    <a:lstStyle/>
    <a:p>
      <a:pPr>
        <a:defRPr lang="de-de" sz="3160" b="0" i="0" u="none" strike="noStrike" kern="100">
          <a:solidFill>
            <a:srgbClr val="000000"/>
          </a:solidFill>
          <a:latin typeface="Arial" charset="0"/>
        </a:defRPr>
      </a:pPr>
    </a:p>
  </c:txPr>
  <c:extLst>
    <c:ext xmlns:sm="smo" uri="smo">
      <sm:colorScheme xmlns:sm="smo" id="1783262951" val="7"/>
    </c:ext>
  </c:extLst>
</c:chartSpace>
</file>

<file path=xl/drawings/_rels/drawing1.xml.rels><?xml version="1.0" encoding="UTF-8" standalone="yes" ?>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56515</xdr:colOff>
      <xdr:row>13</xdr:row>
      <xdr:rowOff>57150</xdr:rowOff>
    </xdr:from>
    <xdr:to>
      <xdr:col>12</xdr:col>
      <xdr:colOff>322580</xdr:colOff>
      <xdr:row>49</xdr:row>
      <xdr:rowOff>44450</xdr:rowOff>
    </xdr:to>
    <xdr:graphicFrame macro="">
      <xdr:nvGraphicFramePr>
        <xdr:cNvPr id="18" name="Verlauf"/>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Microsoft YaHei"/>
        <a:cs typeface="Lucida Sans"/>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_rels/sheet1.xml.rels><?xml version="1.0" encoding="UTF-8" standalone="yes" ?>
<Relationships xmlns="http://schemas.openxmlformats.org/package/2006/relationships"><Relationship Id="rId1" Type="http://schemas.openxmlformats.org/officeDocument/2006/relationships/drawing" Target="../drawings/drawing1.xm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 ?>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dimension ref="A1:R252"/>
  <sheetViews>
    <sheetView showGridLines="0" tabSelected="1" colorId="22" defaultGridColor="0" view="normal" workbookViewId="0">
      <selection activeCell="A1" sqref="A1"/>
    </sheetView>
  </sheetViews>
  <sheetFormatPr baseColWidth="9" defaultColWidth="10.000000" defaultRowHeight="13.45"/>
  <cols>
    <col min="1" max="2" width="2.387387" customWidth="1" style="0"/>
    <col min="3" max="3" width="51.396396" customWidth="1" style="0"/>
    <col min="4" max="4" width="12.927928" customWidth="1" style="0"/>
    <col min="5" max="5" width="9.414414" customWidth="1" style="0"/>
    <col min="6" max="6" width="14.180180" customWidth="1" style="1"/>
    <col min="7" max="7" width="9.270270" customWidth="1"/>
    <col min="8" max="8" width="9.099099" customWidth="1"/>
    <col min="9" max="9" width="15.315315" customWidth="1"/>
    <col min="11" max="11" width="16.036036" customWidth="1"/>
    <col min="12" max="12" width="90.540541" customWidth="1"/>
    <col min="13" max="13" width="5.315315" customWidth="1"/>
    <col min="14" max="14" width="20.720721" customWidth="1"/>
  </cols>
  <sheetData>
    <row r="1" spans="2:13" s="0" customFormat="1" ht="32.65" customHeight="1">
      <c r="B1" s="98" t="s">
        <v>0</v>
      </c>
      <c r="C1" s="98"/>
      <c r="D1" s="98"/>
      <c r="E1" s="98"/>
      <c r="F1" s="98"/>
      <c r="G1" s="98"/>
      <c r="H1" s="98"/>
      <c r="I1" s="98"/>
      <c r="J1" s="98"/>
      <c r="K1" s="99"/>
      <c r="L1" s="99"/>
      <c r="M1" s="100" t="s">
        <v>1</v>
      </c>
    </row>
    <row r="2" spans="2:10" s="0" customFormat="1">
      <c r="B2" s="9"/>
      <c r="C2" s="9"/>
      <c r="D2" s="9"/>
      <c r="E2" s="9"/>
      <c r="F2" s="9"/>
      <c r="G2" s="9"/>
      <c r="H2" t="str">
        <f>_xlfn.CONCAT(G37:G41)</f>
        <v/>
      </c>
      <c r="I2" s="9"/>
      <c r="J2" s="9"/>
    </row>
    <row r="3" spans="2:6" s="0" customFormat="1">
      <c r="B3" s="9"/>
      <c r="C3" s="9"/>
      <c r="D3" s="9"/>
      <c r="E3" s="9"/>
      <c r="F3" s="89" t="s">
        <v>2</v>
      </c>
    </row>
    <row r="4" spans="2:13">
      <c r="B4" s="12"/>
      <c r="C4" s="12" t="s">
        <v>3</v>
      </c>
      <c r="D4" s="12"/>
      <c r="E4" s="12"/>
      <c r="F4" s="13"/>
      <c r="H4" s="102" t="s">
        <v>4</v>
      </c>
      <c r="I4" s="101"/>
      <c r="J4" s="101"/>
      <c r="K4" s="101"/>
      <c r="L4" s="101"/>
      <c r="M4" s="101"/>
    </row>
    <row r="5" spans="2:13">
      <c r="B5" s="12"/>
      <c r="C5" s="21" t="s">
        <v>5</v>
      </c>
      <c r="D5" s="21"/>
      <c r="E5" s="21"/>
      <c r="F5" s="22"/>
      <c r="H5" s="103" t="s">
        <v>6</v>
      </c>
      <c r="I5" s="104"/>
      <c r="J5" s="104"/>
      <c r="K5" s="104"/>
      <c r="L5" s="104"/>
      <c r="M5" s="104"/>
    </row>
    <row r="6" spans="2:18">
      <c r="B6" s="17"/>
      <c r="C6" t="s">
        <v>7</v>
      </c>
      <c r="F6" t="n">
        <v>2026</v>
      </c>
      <c r="H6" t="s">
        <v>8</v>
      </c>
      <c r="K6">
        <f>IF(MIN(FIRE!BM5:BM100)=0,"bis ans Lebensende (~unendlich)",MIN(FIRE!BM5:BM100)-1)</f>
        <v>2078</v>
      </c>
      <c r="R6" s="9" t="s">
        <v>9</v>
      </c>
    </row>
    <row r="7" spans="2:18">
      <c r="B7" s="17"/>
      <c r="C7" t="s">
        <v>10</v>
      </c>
      <c r="F7" t="n">
        <v>6</v>
      </c>
      <c r="G7" s="14"/>
      <c r="H7" t="s">
        <v>11</v>
      </c>
      <c r="K7">
        <f aca="1">IF(MIN(FIRE!BM5:BM100)=0,"bis ans Lebensende (~unendlich)",MIN(FIRE!BM5:BM100)-Param.Startjahr+Param.Startalter-1)</f>
        <v>82</v>
      </c>
      <c r="R7" t="s">
        <v>12</v>
      </c>
    </row>
    <row r="8" spans="2:18">
      <c r="B8" s="17"/>
      <c r="C8" t="s">
        <v>13</v>
      </c>
      <c r="F8" t="n">
        <v>30</v>
      </c>
      <c r="H8" s="84" t="str">
        <f>IF(FIRE!BJ1&lt;&gt;"Festgeld positiv","Das Festgeld läuft irgendwann ins negative - Zu hohe einmalige Festgeld-Ausgabe geplant?",IF(_xlfn.CONCAT(G37:G41,N67:N76)&lt;&gt;"","Es besteht ein Fehler in diesem Tabellenblatt - siehe Zeile neben dem Begriff ""[Fehler]"" innerhalb dieses Tabellenblatts.",""))</f>
        <v/>
      </c>
      <c r="I8" s="20"/>
      <c r="J8" s="20"/>
      <c r="K8" s="20"/>
      <c r="L8" s="20"/>
      <c r="M8" s="20"/>
      <c r="R8" t="s">
        <v>14</v>
      </c>
    </row>
    <row r="9" spans="2:18">
      <c r="B9" s="17"/>
      <c r="C9" t="s">
        <v>15</v>
      </c>
      <c r="F9" t="n">
        <v>2045</v>
      </c>
      <c r="R9" t="s">
        <v>16</v>
      </c>
    </row>
    <row r="10" spans="2:18">
      <c r="B10" s="17"/>
      <c r="F10"/>
      <c r="H10" s="103" t="s">
        <v>17</v>
      </c>
      <c r="I10" s="104"/>
      <c r="J10" s="104"/>
      <c r="K10" s="104"/>
      <c r="L10" s="104"/>
      <c r="M10" s="104"/>
      <c r="R10" t="s">
        <v>18</v>
      </c>
    </row>
    <row r="11" spans="2:18">
      <c r="B11" s="17"/>
      <c r="C11" s="21" t="s">
        <v>19</v>
      </c>
      <c r="D11" s="21"/>
      <c r="E11" s="21"/>
      <c r="F11" s="22"/>
      <c r="H11" s="96" t="str">
        <f aca="1">IF(Param.FireStartjahr=Param.Startjahr,"Wenn du direkt im Startjahr in die Entnahmephase gehst (kein Ansparjahr),","Wenn du mit den angegebenen Parametern bis zum Jahr "&amp;Param.FireStartjahr-1&amp;" jährlich "&amp;TEXT(Param.SparrateGesamtJaehrlich,"#.##0")&amp;"€ einzahlst und im Dezember "&amp;Param.FireStartjahr-1&amp;" aufhörst zu arbeiten/einzuzahlen,")&amp;" steht dir ab Januar "&amp;Param.FireStartjahr&amp;" "&amp;IF(MIN(FIRE!BM5:BM100)=0,"bis ans Lebensende (~unendlich)","bis ins Jahr "&amp;MIN(FIRE!BM5:BM100)-1&amp;" (Alter: "&amp;MIN(FIRE!BM5:BM100)-Param.Startjahr+Param.Startalter-1&amp;")")&amp;" jährlich "&amp;TEXT(Param.EntnahmeBetragStart,"#.##0")&amp;"€ (real) zur Verfügung"&amp;IF(MIN(FIRE!BM5:BM100)=0," (dann gibt es auch noch Restkapital)."," (= Pleite im Alter von "&amp;MIN(FIRE!BM5:BM100)-Param.Startjahr+Param.Startalter&amp;").")</f>
        <v>Wenn du mit den angegebenen Parametern bis zum Jahr 2044 jährlich 7.800€ einzahlst und im Dezember 2044 aufhörst zu arbeiten/einzuzahlen, steht dir ab Januar 2045 bis ins Jahr 2078 (Alter: 82) jährlich 30.000€ (real) zur Verfügung (= Pleite im Alter von 83).</v>
      </c>
      <c r="I11" s="96"/>
      <c r="J11" s="96"/>
      <c r="K11" s="96"/>
      <c r="L11" s="96"/>
      <c r="M11" s="4"/>
      <c r="R11" t="s">
        <v>20</v>
      </c>
    </row>
    <row r="12" spans="2:18">
      <c r="B12" s="17"/>
      <c r="C12" t="s">
        <v>21</v>
      </c>
      <c r="F12" s="5" t="n">
        <v>0.3</v>
      </c>
      <c r="H12" s="96"/>
      <c r="I12" s="96"/>
      <c r="J12" s="96"/>
      <c r="K12" s="96"/>
      <c r="L12" s="96"/>
      <c r="M12" s="4"/>
      <c r="R12" t="s">
        <v>22</v>
      </c>
    </row>
    <row r="13" spans="2:18">
      <c r="B13" s="17"/>
      <c r="C13" t="s">
        <v>23</v>
      </c>
      <c r="F13" s="2" t="n">
        <v>1000</v>
      </c>
      <c r="R13" t="s">
        <v>24</v>
      </c>
    </row>
    <row r="14" spans="2:18">
      <c r="B14" s="17"/>
      <c r="C14" t="s">
        <v>25</v>
      </c>
      <c r="F14" s="5">
        <f>0.25*1.055</f>
        <v>0.263749999999999973</v>
      </c>
      <c r="R14" t="s">
        <v>26</v>
      </c>
    </row>
    <row r="15" spans="2:6">
      <c r="B15" s="17"/>
      <c r="C15" t="s">
        <v>27</v>
      </c>
      <c r="F15" s="5" t="n">
        <v>0.025</v>
      </c>
    </row>
    <row r="16" spans="2:18">
      <c r="B16" s="17"/>
      <c r="R16" s="9" t="s">
        <v>28</v>
      </c>
    </row>
    <row r="17" spans="1:18">
      <c r="A17" s="9"/>
      <c r="B17" s="12"/>
      <c r="C17" s="21" t="s">
        <v>29</v>
      </c>
      <c r="D17" s="21"/>
      <c r="E17" s="21"/>
      <c r="F17" s="22"/>
      <c r="R17" t="s">
        <v>30</v>
      </c>
    </row>
    <row r="18" spans="2:18">
      <c r="B18" s="17"/>
      <c r="C18" t="s">
        <v>31</v>
      </c>
      <c r="F18" s="2" t="n">
        <v>500</v>
      </c>
      <c r="R18" t="s">
        <v>32</v>
      </c>
    </row>
    <row r="19" spans="2:18">
      <c r="B19" s="17"/>
      <c r="C19" t="s">
        <v>33</v>
      </c>
      <c r="F19" s="2" t="n">
        <v>150</v>
      </c>
      <c r="R19" t="s">
        <v>34</v>
      </c>
    </row>
    <row r="20" spans="2:18">
      <c r="B20" s="17"/>
      <c r="C20" t="s">
        <v>35</v>
      </c>
      <c r="F20" s="11" t="n">
        <v>0</v>
      </c>
      <c r="R20" t="s">
        <v>36</v>
      </c>
    </row>
    <row r="21" spans="2:18">
      <c r="B21" s="17"/>
      <c r="C21" s="30" t="s">
        <v>37</v>
      </c>
      <c r="F21" s="70">
        <f aca="1">Param.SparrateDepotMonatl+Param.SparrateFestgeldMonatl</f>
        <v>650</v>
      </c>
      <c r="R21" t="s">
        <v>38</v>
      </c>
    </row>
    <row r="22" spans="2:6">
      <c r="B22" s="17"/>
      <c r="C22" s="30" t="s">
        <v>39</v>
      </c>
      <c r="F22" s="70">
        <f>F21*12</f>
        <v>7800</v>
      </c>
    </row>
    <row r="23" spans="2:18">
      <c r="B23" s="17"/>
      <c r="R23" s="9" t="s">
        <v>40</v>
      </c>
    </row>
    <row r="24" spans="2:18">
      <c r="B24" s="12"/>
      <c r="C24" s="21" t="s">
        <v>41</v>
      </c>
      <c r="D24" s="21"/>
      <c r="E24" s="21"/>
      <c r="F24" s="22"/>
      <c r="R24" s="115" t="s">
        <v>42</v>
      </c>
    </row>
    <row r="25" spans="2:18">
      <c r="B25" s="17"/>
      <c r="C25" t="s">
        <v>43</v>
      </c>
      <c r="F25" s="8" t="n">
        <v>30000</v>
      </c>
      <c r="R25" s="115" t="s">
        <v>44</v>
      </c>
    </row>
    <row r="26" spans="2:18">
      <c r="B26" s="18"/>
      <c r="C26" s="69" t="s">
        <v>45</v>
      </c>
      <c r="D26" s="69"/>
      <c r="E26" s="69"/>
      <c r="F26" s="70">
        <f>F25*(1+F15)^(F9-F6)</f>
        <v>47959.505569475099</v>
      </c>
      <c r="R26" s="115" t="s">
        <v>46</v>
      </c>
    </row>
    <row r="27" spans="18:18">
      <c r="R27" s="115" t="s">
        <v>47</v>
      </c>
    </row>
    <row r="28" spans="1:18">
      <c r="A28" s="9"/>
      <c r="R28" s="115" t="s">
        <v>48</v>
      </c>
    </row>
    <row r="29" spans="2:6">
      <c r="B29" s="23"/>
      <c r="C29" s="24" t="s">
        <v>49</v>
      </c>
      <c r="D29" s="24"/>
      <c r="E29" s="24"/>
      <c r="F29" s="24"/>
    </row>
    <row r="30" spans="2:18">
      <c r="B30" s="25"/>
      <c r="C30" s="26" t="s">
        <v>50</v>
      </c>
      <c r="D30" s="26"/>
      <c r="E30" s="26"/>
      <c r="F30" s="26"/>
      <c r="R30" s="9" t="s">
        <v>51</v>
      </c>
    </row>
    <row r="31" spans="2:18">
      <c r="B31" s="25"/>
      <c r="C31" t="s">
        <v>52</v>
      </c>
      <c r="F31" s="2" t="n">
        <v>300000</v>
      </c>
      <c r="R31" s="115" t="s">
        <v>53</v>
      </c>
    </row>
    <row r="32" spans="1:18">
      <c r="A32" s="9"/>
      <c r="B32" s="25"/>
      <c r="C32" t="s">
        <v>54</v>
      </c>
      <c r="F32" s="2" t="n">
        <v>120000</v>
      </c>
      <c r="R32" s="115" t="s">
        <v>55</v>
      </c>
    </row>
    <row r="33" spans="2:18">
      <c r="B33" s="25"/>
      <c r="C33" t="s">
        <v>56</v>
      </c>
      <c r="F33" s="19">
        <f>IFERROR(F32/(F31-F32),0)</f>
        <v>0.666666666666666607</v>
      </c>
      <c r="R33" s="115" t="s">
        <v>57</v>
      </c>
    </row>
    <row r="34" spans="1:18">
      <c r="A34" s="7"/>
      <c r="B34" s="25"/>
      <c r="C34" s="77" t="s">
        <v>58</v>
      </c>
      <c r="R34" s="115" t="s">
        <v>59</v>
      </c>
    </row>
    <row r="35" spans="1:18">
      <c r="A35" s="7"/>
      <c r="B35" s="25"/>
      <c r="C35" s="74" t="s">
        <v>60</v>
      </c>
      <c r="F35" s="5" t="n">
        <v>0.06</v>
      </c>
      <c r="R35" s="115" t="s">
        <v>61</v>
      </c>
    </row>
    <row r="36" spans="1:12">
      <c r="A36" s="7"/>
      <c r="B36" s="25"/>
      <c r="C36" s="74" t="s">
        <v>62</v>
      </c>
      <c r="D36" s="75" t="s">
        <v>63</v>
      </c>
      <c r="E36" s="75" t="s">
        <v>64</v>
      </c>
      <c r="F36" s="76" t="s">
        <v>65</v>
      </c>
      <c r="J36" s="5"/>
      <c r="L36" s="5"/>
    </row>
    <row r="37" spans="1:18">
      <c r="A37" s="7"/>
      <c r="B37" s="25"/>
      <c r="C37" s="50" t="s">
        <v>66</v>
      </c>
      <c r="D37" s="48" t="n">
        <v>2026</v>
      </c>
      <c r="E37" s="48" t="n">
        <v>2028</v>
      </c>
      <c r="F37" s="47" t="n">
        <v>0.03</v>
      </c>
      <c r="G37" s="84" t="str">
        <f aca="1">IF(Param.DepotRenditeSpezBeginn1&gt;Param.DepotRenditeSpezEnde1,"[Fehler]","")</f>
        <v/>
      </c>
      <c r="J37" s="5"/>
      <c r="L37" s="5"/>
      <c r="R37" s="9" t="s">
        <v>67</v>
      </c>
    </row>
    <row r="38" spans="1:18">
      <c r="A38" s="7"/>
      <c r="B38" s="25"/>
      <c r="C38" s="50" t="s">
        <v>68</v>
      </c>
      <c r="D38" s="48" t="n">
        <v>2030</v>
      </c>
      <c r="E38" s="48" t="n">
        <v>2033</v>
      </c>
      <c r="F38" s="47" t="n">
        <v>0.04</v>
      </c>
      <c r="G38" s="84" t="str">
        <f aca="1">IF(AND(Param.DepotRenditeSpezBeginn2&amp;Param.DepotRenditeSpezEnde2&lt;&gt;"",OR(Param.DepotRenditeSpezBeginn2&lt;=Param.DepotRenditeSpezEnde1,Param.DepotRenditeSpezEnde2&lt;Param.DepotRenditeSpezBeginn2)),"[Fehler]","")</f>
        <v/>
      </c>
      <c r="J38" s="5"/>
      <c r="L38" s="5"/>
      <c r="R38" t="s">
        <v>69</v>
      </c>
    </row>
    <row r="39" spans="1:18">
      <c r="A39" s="7"/>
      <c r="B39" s="25"/>
      <c r="C39" s="50" t="s">
        <v>70</v>
      </c>
      <c r="D39" s="48" t="n">
        <v>2045</v>
      </c>
      <c r="E39" s="48" t="n">
        <v>2047</v>
      </c>
      <c r="F39" s="47" t="n">
        <v>0.0700000000000000089</v>
      </c>
      <c r="G39" s="84" t="str">
        <f aca="1">IF(AND(Param.DepotRenditeSpezBeginn3&amp;Param.DepotRenditeSpezEnde3&lt;&gt;"",OR(Param.DepotRenditeSpezBeginn3&lt;=MAX(E37:E38),Param.DepotRenditeSpezEnde3&lt;Param.DepotRenditeSpezBeginn3)),"[Fehler]","")</f>
        <v/>
      </c>
      <c r="J39" s="5"/>
      <c r="L39" s="5"/>
      <c r="R39" t="s">
        <v>71</v>
      </c>
    </row>
    <row r="40" spans="1:18">
      <c r="A40" s="7"/>
      <c r="B40" s="25"/>
      <c r="C40" s="50"/>
      <c r="D40" s="48"/>
      <c r="E40" s="48"/>
      <c r="F40" s="47"/>
      <c r="G40" s="84" t="str">
        <f aca="1">IF(AND(Param.DepotRenditeSpezBeginn4&amp;Param.DepotRenditeSpezEnde4&lt;&gt;"",OR(Param.DepotRenditeSpezBeginn4&lt;=MAX(E37:E39),Param.DepotRenditeSpezEnde4&lt;Param.DepotRenditeSpezBeginn4)),"[Fehler]","")</f>
        <v/>
      </c>
      <c r="J40" s="5"/>
      <c r="L40" s="5"/>
      <c r="R40" t="s">
        <v>72</v>
      </c>
    </row>
    <row r="41" spans="1:18">
      <c r="A41" s="7"/>
      <c r="B41" s="25"/>
      <c r="C41" s="50"/>
      <c r="D41" s="48"/>
      <c r="E41" s="48"/>
      <c r="F41" s="47"/>
      <c r="G41" s="84" t="str">
        <f aca="1">IF(AND(Param.DepotRenditeSpezBeginn5&amp;Param.DepotRenditeSpezEnde5&lt;&gt;"",OR(Param.DepotRenditeSpezBeginn5&lt;=MAX(E37:E40),Param.DepotRenditeSpezEnde5&lt;Param.DepotRenditeSpezBeginn5)),"[Fehler]","")</f>
        <v/>
      </c>
      <c r="J41" s="5"/>
      <c r="L41" s="5"/>
      <c r="R41" s="115" t="s">
        <v>73</v>
      </c>
    </row>
    <row r="42" spans="2:18" s="0" customFormat="1">
      <c r="B42" s="25"/>
      <c r="F42" s="5"/>
      <c r="J42" s="5"/>
      <c r="L42" s="5"/>
      <c r="R42" s="115" t="s">
        <v>74</v>
      </c>
    </row>
    <row r="43" spans="1:18">
      <c r="A43" s="9"/>
      <c r="B43" s="25"/>
      <c r="C43" s="27" t="s">
        <v>75</v>
      </c>
      <c r="D43" s="27"/>
      <c r="E43" s="27"/>
      <c r="F43" s="27"/>
      <c r="J43" s="5"/>
      <c r="L43" s="5"/>
      <c r="R43" s="115" t="s">
        <v>76</v>
      </c>
    </row>
    <row r="44" spans="2:18">
      <c r="B44" s="25"/>
      <c r="C44" t="s">
        <v>77</v>
      </c>
      <c r="F44" s="2" t="n">
        <v>100000</v>
      </c>
      <c r="J44" s="5"/>
      <c r="L44" s="5"/>
      <c r="R44" t="s">
        <v>78</v>
      </c>
    </row>
    <row r="45" spans="2:18">
      <c r="B45" s="25"/>
      <c r="C45" t="s">
        <v>79</v>
      </c>
      <c r="F45" s="5" t="n">
        <v>0.02</v>
      </c>
      <c r="J45" s="5"/>
      <c r="L45" s="5"/>
      <c r="R45" t="s">
        <v>80</v>
      </c>
    </row>
    <row r="46" spans="2:18">
      <c r="B46" s="25"/>
      <c r="F46" s="5"/>
      <c r="R46" t="s">
        <v>81</v>
      </c>
    </row>
    <row r="47" spans="2:18">
      <c r="B47" s="25"/>
      <c r="C47" s="30" t="s">
        <v>82</v>
      </c>
      <c r="D47" s="85"/>
      <c r="E47" s="85"/>
      <c r="F47" s="86">
        <f>F31+F44</f>
        <v>400000</v>
      </c>
      <c r="R47" t="s">
        <v>83</v>
      </c>
    </row>
    <row r="48" spans="2:6">
      <c r="B48" s="25"/>
      <c r="D48" s="87"/>
      <c r="E48" s="87"/>
      <c r="F48" s="88" t="str">
        <f aca="1">"(Depot: "&amp;TEXT(Param.DeportwertStart/Param.Gesamtvermoegen,"0%")&amp;" / Festgeld: "&amp;TEXT(Param.FestgeldStart/Param.Gesamtvermoegen,"0%")&amp;")"</f>
        <v>(Depot: 75% / Festgeld: 25%)</v>
      </c>
    </row>
    <row r="49" spans="6:14">
      <c r="F49"/>
      <c r="N49" s="6" t="s">
        <v>84</v>
      </c>
    </row>
    <row r="50" spans="1:7">
      <c r="A50" s="9"/>
      <c r="G50" s="1"/>
    </row>
    <row r="51" spans="1:12">
      <c r="A51" s="9"/>
      <c r="B51" s="37" t="s">
        <v>85</v>
      </c>
      <c r="C51" s="41"/>
      <c r="D51" s="41"/>
      <c r="E51" s="41"/>
      <c r="F51" s="41"/>
      <c r="G51" s="9"/>
      <c r="H51" s="9"/>
      <c r="I51" s="9"/>
      <c r="J51" s="9"/>
      <c r="K51" s="9"/>
      <c r="L51" s="9"/>
    </row>
    <row r="52" spans="2:12">
      <c r="B52" s="42"/>
      <c r="C52" s="49" t="s">
        <v>86</v>
      </c>
      <c r="D52" s="49" t="s">
        <v>87</v>
      </c>
      <c r="E52" s="49" t="s">
        <v>88</v>
      </c>
      <c r="F52" s="49" t="s">
        <v>89</v>
      </c>
      <c r="G52" s="49" t="s">
        <v>63</v>
      </c>
      <c r="H52" s="92" t="s">
        <v>64</v>
      </c>
      <c r="I52" s="114" t="s">
        <v>90</v>
      </c>
      <c r="J52" s="97"/>
      <c r="K52" s="91"/>
      <c r="L52" s="91"/>
    </row>
    <row r="53" spans="2:12">
      <c r="B53" s="43" t="n">
        <v>1</v>
      </c>
      <c r="C53" s="50" t="s">
        <v>91</v>
      </c>
      <c r="D53" s="45" t="n">
        <v>1500</v>
      </c>
      <c r="E53" s="46">
        <f>12*D53</f>
        <v>18000</v>
      </c>
      <c r="F53" s="47" t="n">
        <v>0.01</v>
      </c>
      <c r="G53" s="48" t="n">
        <v>2063</v>
      </c>
      <c r="H53" s="93" t="n">
        <v>2200</v>
      </c>
      <c r="I53" s="90" t="s">
        <v>92</v>
      </c>
      <c r="J53" s="91"/>
      <c r="K53" s="91"/>
      <c r="L53" s="91"/>
    </row>
    <row r="54" spans="2:12">
      <c r="B54" s="43" t="n">
        <v>2</v>
      </c>
      <c r="C54" s="50" t="s">
        <v>93</v>
      </c>
      <c r="D54" s="45" t="n">
        <v>-600</v>
      </c>
      <c r="E54" s="46">
        <f>12*D54</f>
        <v>-7200</v>
      </c>
      <c r="F54" s="47" t="n">
        <v>0.02</v>
      </c>
      <c r="G54" s="48">
        <f>F9</f>
        <v>2045</v>
      </c>
      <c r="H54" s="93">
        <f>G53-1</f>
        <v>2062</v>
      </c>
      <c r="I54" s="91"/>
      <c r="J54" s="91"/>
      <c r="K54" s="91"/>
      <c r="L54" s="91"/>
    </row>
    <row r="55" spans="2:12">
      <c r="B55" s="43" t="n">
        <v>3</v>
      </c>
      <c r="C55" s="50" t="s">
        <v>94</v>
      </c>
      <c r="D55" s="45" t="n">
        <v>300</v>
      </c>
      <c r="E55" s="46">
        <f>12*D55</f>
        <v>3600</v>
      </c>
      <c r="F55" s="47" t="n">
        <v>0.01</v>
      </c>
      <c r="G55" s="48" t="n">
        <v>2028</v>
      </c>
      <c r="H55" s="93" t="n">
        <v>2039</v>
      </c>
      <c r="I55" s="90" t="s">
        <v>95</v>
      </c>
      <c r="J55" s="91"/>
      <c r="K55" s="91"/>
      <c r="L55" s="91"/>
    </row>
    <row r="56" spans="2:12">
      <c r="B56" s="43" t="n">
        <v>4</v>
      </c>
      <c r="C56" s="50"/>
      <c r="D56" s="45"/>
      <c r="E56" s="46">
        <f>12*D56</f>
        <v>0</v>
      </c>
      <c r="F56" s="47"/>
      <c r="G56" s="48"/>
      <c r="H56" s="93"/>
      <c r="I56" s="90"/>
      <c r="J56" s="91"/>
      <c r="K56" s="91"/>
      <c r="L56" s="91"/>
    </row>
    <row r="57" spans="2:12">
      <c r="B57" s="43" t="n">
        <v>5</v>
      </c>
      <c r="C57" s="50"/>
      <c r="D57" s="45"/>
      <c r="E57" s="46">
        <f>12*D57</f>
        <v>0</v>
      </c>
      <c r="F57" s="47"/>
      <c r="G57" s="48"/>
      <c r="H57" s="93"/>
      <c r="I57" s="90"/>
      <c r="J57" s="91"/>
      <c r="K57" s="91"/>
      <c r="L57" s="91"/>
    </row>
    <row r="58" spans="2:12">
      <c r="B58" s="43" t="n">
        <v>6</v>
      </c>
      <c r="C58" s="50"/>
      <c r="D58" s="45"/>
      <c r="E58" s="46">
        <f>12*D58</f>
        <v>0</v>
      </c>
      <c r="F58" s="47"/>
      <c r="G58" s="48"/>
      <c r="H58" s="93"/>
      <c r="I58" s="90"/>
      <c r="J58" s="91"/>
      <c r="K58" s="91"/>
      <c r="L58" s="91"/>
    </row>
    <row r="59" spans="2:12">
      <c r="B59" s="43" t="n">
        <v>7</v>
      </c>
      <c r="C59" s="50"/>
      <c r="D59" s="45"/>
      <c r="E59" s="46">
        <f>12*D59</f>
        <v>0</v>
      </c>
      <c r="F59" s="47"/>
      <c r="G59" s="48"/>
      <c r="H59" s="93"/>
      <c r="I59" s="91"/>
      <c r="J59" s="91"/>
      <c r="K59" s="91"/>
      <c r="L59" s="91"/>
    </row>
    <row r="60" spans="2:12">
      <c r="B60" s="43" t="n">
        <v>8</v>
      </c>
      <c r="C60" s="50"/>
      <c r="D60" s="45"/>
      <c r="E60" s="46">
        <f>12*D60</f>
        <v>0</v>
      </c>
      <c r="F60" s="47"/>
      <c r="G60" s="48"/>
      <c r="H60" s="93"/>
      <c r="I60" s="91"/>
      <c r="J60" s="91"/>
      <c r="K60" s="91"/>
      <c r="L60" s="91"/>
    </row>
    <row r="61" spans="2:12">
      <c r="B61" s="43" t="n">
        <v>9</v>
      </c>
      <c r="C61" s="50"/>
      <c r="D61" s="45"/>
      <c r="E61" s="46">
        <f>12*D61</f>
        <v>0</v>
      </c>
      <c r="F61" s="47"/>
      <c r="G61" s="48"/>
      <c r="H61" s="93"/>
      <c r="I61" s="90"/>
      <c r="J61" s="91"/>
      <c r="K61" s="91"/>
      <c r="L61" s="91"/>
    </row>
    <row r="62" spans="2:12">
      <c r="B62" s="43" t="n">
        <v>10</v>
      </c>
      <c r="C62" s="50"/>
      <c r="D62" s="45"/>
      <c r="E62" s="46">
        <f>12*D62</f>
        <v>0</v>
      </c>
      <c r="F62" s="47"/>
      <c r="G62" s="48"/>
      <c r="H62" s="93"/>
      <c r="I62" s="90"/>
      <c r="J62" s="91"/>
      <c r="K62" s="91"/>
      <c r="L62" s="91"/>
    </row>
    <row r="63" spans="2:6">
      <c r="B63" s="1"/>
      <c r="C63" s="1"/>
      <c r="D63" s="1"/>
      <c r="E63" s="1"/>
      <c r="F63"/>
    </row>
    <row r="64" spans="2:6">
      <c r="B64" s="1"/>
      <c r="C64" s="1"/>
      <c r="D64" s="1"/>
      <c r="E64" s="1"/>
      <c r="F64"/>
    </row>
    <row r="65" spans="2:14">
      <c r="B65" s="33" t="s">
        <v>96</v>
      </c>
      <c r="C65" s="41"/>
      <c r="D65" s="41"/>
      <c r="E65" s="41"/>
      <c r="F65" s="9"/>
      <c r="G65" s="9"/>
      <c r="H65" s="9"/>
      <c r="I65" s="9"/>
      <c r="J65" s="9"/>
      <c r="K65" s="9"/>
      <c r="L65" s="9"/>
      <c r="N65" s="6" t="s">
        <v>97</v>
      </c>
    </row>
    <row r="66" spans="2:12">
      <c r="B66" s="34"/>
      <c r="C66" s="49" t="s">
        <v>98</v>
      </c>
      <c r="D66" s="49" t="s">
        <v>99</v>
      </c>
      <c r="E66" s="92" t="s">
        <v>100</v>
      </c>
      <c r="F66" s="92" t="s">
        <v>101</v>
      </c>
      <c r="G66" s="94" t="s">
        <v>90</v>
      </c>
      <c r="H66" s="94"/>
      <c r="I66" s="94"/>
      <c r="J66" s="94"/>
      <c r="K66" s="94"/>
      <c r="L66" s="95"/>
    </row>
    <row r="67" spans="2:14">
      <c r="B67" s="44" t="n">
        <v>1</v>
      </c>
      <c r="C67" s="50" t="s">
        <v>102</v>
      </c>
      <c r="D67" s="45" t="n">
        <v>74000</v>
      </c>
      <c r="E67" s="93" t="n">
        <v>2056</v>
      </c>
      <c r="F67" s="93" t="s">
        <v>103</v>
      </c>
      <c r="G67" s="95"/>
      <c r="H67" s="95"/>
      <c r="I67" s="95"/>
      <c r="J67" s="95"/>
      <c r="K67" s="95"/>
      <c r="L67" s="95"/>
      <c r="N67" s="84" t="str">
        <f aca="1">IF(AND(Param.SonstigEinmaligBetrag1&lt;&gt;"",OR(Param.SonstigEinmaligJahr1="",Param.SonstigEinmaligKonto1="")),"[Fehler]",IF(AND(Param.SonstigEinmaligKonto1="Depot",Param.SonstigEinmaligBetrag1&lt;0),"[Fehler] - Wenn ""Depot"", darf der Betrag nicht negativ sein",""))</f>
        <v/>
      </c>
    </row>
    <row r="68" spans="2:14">
      <c r="B68" s="44" t="n">
        <v>2</v>
      </c>
      <c r="C68" s="50" t="s">
        <v>104</v>
      </c>
      <c r="D68" s="45" t="n">
        <v>-25000</v>
      </c>
      <c r="E68" s="93" t="n">
        <v>2030</v>
      </c>
      <c r="F68" s="93" t="s">
        <v>103</v>
      </c>
      <c r="G68" s="95"/>
      <c r="H68" s="95"/>
      <c r="I68" s="95"/>
      <c r="J68" s="95"/>
      <c r="K68" s="95"/>
      <c r="L68" s="95"/>
      <c r="N68" s="84" t="str">
        <f aca="1">IF(AND(Param.SonstigEinmaligBetrag2&lt;&gt;"",OR(Param.SonstigEinmaligJahr2="",Param.SonstigEinmaligKonto2="")),"[Fehler]",IF(AND(Param.SonstigEinmaligKonto2="Depot",Param.SonstigEinmaligBetrag2&lt;0),"[Fehler] - Wenn ""Depot"", darf der Betrag nicht negativ sein",""))</f>
        <v/>
      </c>
    </row>
    <row r="69" spans="2:14">
      <c r="B69" s="44" t="n">
        <v>3</v>
      </c>
      <c r="C69" s="50" t="s">
        <v>105</v>
      </c>
      <c r="D69" s="45" t="n">
        <v>100000</v>
      </c>
      <c r="E69" s="93" t="n">
        <v>2040</v>
      </c>
      <c r="F69" s="93" t="s">
        <v>103</v>
      </c>
      <c r="G69" s="95"/>
      <c r="H69" s="95"/>
      <c r="I69" s="95"/>
      <c r="J69" s="95"/>
      <c r="K69" s="95"/>
      <c r="L69" s="95"/>
      <c r="N69" s="84" t="str">
        <f aca="1">IF(AND(Param.SonstigEinmaligBetrag3&lt;&gt;"",OR(Param.SonstigEinmaligJahr3="",Param.SonstigEinmaligKonto3="")),"[Fehler]",IF(AND(Param.SonstigEinmaligKonto3="Depot",Param.SonstigEinmaligBetrag3&lt;0),"[Fehler] - Wenn ""Depot"", darf der Betrag nicht negativ sein",""))</f>
        <v/>
      </c>
    </row>
    <row r="70" spans="2:14">
      <c r="B70" s="44" t="n">
        <v>4</v>
      </c>
      <c r="C70" s="50"/>
      <c r="D70" s="45"/>
      <c r="E70" s="93"/>
      <c r="F70" s="93"/>
      <c r="G70" s="95"/>
      <c r="H70" s="95"/>
      <c r="I70" s="95"/>
      <c r="J70" s="95"/>
      <c r="K70" s="95"/>
      <c r="L70" s="95"/>
      <c r="N70" s="84" t="str">
        <f aca="1">IF(AND(Param.SonstigEinmaligBetrag4&lt;&gt;"",OR(Param.SonstigEinmaligJahr4="",Param.SonstigEinmaligKonto4="")),"[Fehler]",IF(AND(Param.SonstigEinmaligKonto4="Depot",Param.SonstigEinmaligBetrag4&lt;0),"[Fehler] - Wenn ""Depot"", darf der Betrag nicht negativ sein",""))</f>
        <v/>
      </c>
    </row>
    <row r="71" spans="2:14">
      <c r="B71" s="44" t="n">
        <v>5</v>
      </c>
      <c r="C71" s="50"/>
      <c r="D71" s="45"/>
      <c r="E71" s="93"/>
      <c r="F71" s="93"/>
      <c r="G71" s="95"/>
      <c r="H71" s="95"/>
      <c r="I71" s="95"/>
      <c r="J71" s="95"/>
      <c r="K71" s="95"/>
      <c r="L71" s="95"/>
      <c r="N71" s="84" t="str">
        <f aca="1">IF(AND(Param.SonstigEinmaligBetrag5&lt;&gt;"",OR(Param.SonstigEinmaligJahr5="",Param.SonstigEinmaligKonto5="")),"[Fehler]",IF(AND(Param.SonstigEinmaligKonto5="Depot",Param.SonstigEinmaligBetrag5&lt;0),"[Fehler] - Wenn ""Depot"", darf der Betrag nicht negativ sein",""))</f>
        <v/>
      </c>
    </row>
    <row r="72" spans="2:14">
      <c r="B72" s="44" t="n">
        <v>6</v>
      </c>
      <c r="C72" s="50"/>
      <c r="D72" s="45"/>
      <c r="E72" s="93"/>
      <c r="F72" s="93"/>
      <c r="G72" s="95"/>
      <c r="H72" s="95"/>
      <c r="I72" s="95"/>
      <c r="J72" s="95"/>
      <c r="K72" s="95"/>
      <c r="L72" s="95"/>
      <c r="N72" s="84" t="str">
        <f aca="1">IF(AND(Param.SonstigEinmaligBetrag6&lt;&gt;"",OR(Param.SonstigEinmaligJahr6="",Param.SonstigEinmaligKonto6="")),"[Fehler]",IF(AND(Param.SonstigEinmaligKonto6="Depot",Param.SonstigEinmaligBetrag6&lt;0),"[Fehler] - Wenn ""Depot"", darf der Betrag nicht negativ sein",""))</f>
        <v/>
      </c>
    </row>
    <row r="73" spans="2:14">
      <c r="B73" s="44" t="n">
        <v>7</v>
      </c>
      <c r="C73" s="50"/>
      <c r="D73" s="45"/>
      <c r="E73" s="93"/>
      <c r="F73" s="93"/>
      <c r="G73" s="95"/>
      <c r="H73" s="95"/>
      <c r="I73" s="95"/>
      <c r="J73" s="95"/>
      <c r="K73" s="95"/>
      <c r="L73" s="95"/>
      <c r="N73" s="84" t="str">
        <f aca="1">IF(AND(Param.SonstigEinmaligBetrag7&lt;&gt;"",OR(Param.SonstigEinmaligJahr7="",Param.SonstigEinmaligKonto7="")),"[Fehler]",IF(AND(Param.SonstigEinmaligKonto7="Depot",Param.SonstigEinmaligBetrag7&lt;0),"[Fehler] - Wenn ""Depot"", darf der Betrag nicht negativ sein",""))</f>
        <v/>
      </c>
    </row>
    <row r="74" spans="2:14">
      <c r="B74" s="44" t="n">
        <v>8</v>
      </c>
      <c r="C74" s="50"/>
      <c r="D74" s="45"/>
      <c r="E74" s="93"/>
      <c r="F74" s="93"/>
      <c r="G74" s="95"/>
      <c r="H74" s="95"/>
      <c r="I74" s="95"/>
      <c r="J74" s="95"/>
      <c r="K74" s="95"/>
      <c r="L74" s="95"/>
      <c r="N74" s="84" t="str">
        <f aca="1">IF(AND(Param.SonstigEinmaligBetrag8&lt;&gt;"",OR(Param.SonstigEinmaligJahr8="",Param.SonstigEinmaligKonto8="")),"[Fehler]",IF(AND(Param.SonstigEinmaligKonto8="Depot",Param.SonstigEinmaligBetrag8&lt;0),"[Fehler] - Wenn ""Depot"", darf der Betrag nicht negativ sein",""))</f>
        <v/>
      </c>
    </row>
    <row r="75" spans="2:14">
      <c r="B75" s="44" t="n">
        <v>9</v>
      </c>
      <c r="C75" s="50"/>
      <c r="D75" s="45"/>
      <c r="E75" s="93"/>
      <c r="F75" s="93"/>
      <c r="G75" s="95"/>
      <c r="H75" s="95"/>
      <c r="I75" s="95"/>
      <c r="J75" s="95"/>
      <c r="K75" s="95"/>
      <c r="L75" s="95"/>
      <c r="N75" s="84" t="str">
        <f aca="1">IF(AND(Param.SonstigEinmaligBetrag9&lt;&gt;"",OR(Param.SonstigEinmaligJahr9="",Param.SonstigEinmaligKonto9="")),"[Fehler]",IF(AND(Param.SonstigEinmaligKonto9="Depot",Param.SonstigEinmaligBetrag9&lt;0),"[Fehler] - Wenn ""Depot"", darf der Betrag nicht negativ sein",""))</f>
        <v/>
      </c>
    </row>
    <row r="76" spans="2:14">
      <c r="B76" s="44" t="n">
        <v>10</v>
      </c>
      <c r="C76" s="50"/>
      <c r="D76" s="45"/>
      <c r="E76" s="93"/>
      <c r="F76" s="93"/>
      <c r="G76" s="95"/>
      <c r="H76" s="95"/>
      <c r="I76" s="95"/>
      <c r="J76" s="95"/>
      <c r="K76" s="95"/>
      <c r="L76" s="95"/>
      <c r="N76" s="84" t="str">
        <f aca="1">IF(AND(Param.SonstigEinmaligBetrag10&lt;&gt;"",OR(Param.SonstigEinmaligJahr10="",Param.SonstigEinmaligKonto10="")),"[Fehler]",IF(AND(Param.SonstigEinmaligKonto10="Depot",Param.SonstigEinmaligBetrag10&lt;0),"[Fehler] - Wenn ""Depot"", darf der Betrag nicht negativ sein",""))</f>
        <v/>
      </c>
    </row>
    <row r="77" spans="2:6">
      <c r="B77" s="1"/>
      <c r="C77" s="1"/>
      <c r="D77" s="1"/>
      <c r="E77" s="1"/>
      <c r="F77"/>
    </row>
    <row r="78" spans="3:5">
      <c r="C78" s="1"/>
      <c r="D78" s="1"/>
      <c r="E78" s="1"/>
    </row>
    <row r="79" spans="3:5">
      <c r="C79" s="1"/>
      <c r="D79" s="1"/>
      <c r="E79" s="1"/>
    </row>
    <row r="80" spans="3:5">
      <c r="C80" s="1"/>
      <c r="D80" s="1"/>
      <c r="E80" s="1"/>
    </row>
    <row r="81" spans="3:6">
      <c r="C81" s="1"/>
      <c r="D81" s="1"/>
      <c r="F81"/>
    </row>
    <row r="82" spans="3:6">
      <c r="C82" s="1"/>
      <c r="D82" s="1"/>
      <c r="F82"/>
    </row>
    <row r="83" spans="6:6">
      <c r="F83"/>
    </row>
    <row r="84" spans="6:6">
      <c r="F84"/>
    </row>
    <row r="85" spans="6:6">
      <c r="F85"/>
    </row>
    <row r="86" spans="6:6">
      <c r="F86"/>
    </row>
    <row r="87" spans="6:6">
      <c r="F87"/>
    </row>
    <row r="88" spans="6:6">
      <c r="F88"/>
    </row>
    <row r="89" spans="6:6">
      <c r="F89"/>
    </row>
    <row r="90" spans="6:6">
      <c r="F90"/>
    </row>
    <row r="91" spans="6:6">
      <c r="F91"/>
    </row>
    <row r="92" spans="6:6">
      <c r="F92"/>
    </row>
    <row r="93" spans="6:6">
      <c r="F93"/>
    </row>
    <row r="94" spans="6:6">
      <c r="F94"/>
    </row>
    <row r="95" spans="6:6">
      <c r="F95"/>
    </row>
    <row r="96" spans="6:6">
      <c r="F96"/>
    </row>
    <row r="97" spans="6:6">
      <c r="F97"/>
    </row>
    <row r="98" spans="6:6">
      <c r="F98"/>
    </row>
    <row r="99" spans="6:6">
      <c r="F99"/>
    </row>
    <row r="100" spans="6:6">
      <c r="F100"/>
    </row>
    <row r="101" spans="6:6">
      <c r="F101"/>
    </row>
    <row r="102" spans="6:6">
      <c r="F102"/>
    </row>
    <row r="103" spans="6:6">
      <c r="F103"/>
    </row>
    <row r="104" spans="6:6">
      <c r="F104"/>
    </row>
    <row r="105" spans="6:6">
      <c r="F105"/>
    </row>
    <row r="106" spans="6:6">
      <c r="F106"/>
    </row>
    <row r="107" spans="6:6">
      <c r="F107"/>
    </row>
    <row r="108" spans="6:6">
      <c r="F108"/>
    </row>
    <row r="109" spans="6:6">
      <c r="F109"/>
    </row>
    <row r="110" spans="6:6">
      <c r="F110"/>
    </row>
    <row r="111" spans="6:6">
      <c r="F111"/>
    </row>
    <row r="112" spans="6:6">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row r="125" spans="6:6">
      <c r="F125"/>
    </row>
    <row r="126" spans="6:6">
      <c r="F126"/>
    </row>
    <row r="127" spans="6:6">
      <c r="F127"/>
    </row>
    <row r="128" spans="6:6">
      <c r="F128"/>
    </row>
    <row r="129" spans="6:6">
      <c r="F129"/>
    </row>
    <row r="130" spans="6:6">
      <c r="F130"/>
    </row>
    <row r="131" spans="6:6">
      <c r="F131"/>
    </row>
    <row r="132" spans="6:6">
      <c r="F132"/>
    </row>
    <row r="133" spans="6:6">
      <c r="F133"/>
    </row>
    <row r="134" spans="6:6">
      <c r="F134"/>
    </row>
    <row r="135" spans="6:6">
      <c r="F135"/>
    </row>
    <row r="136" spans="6:6">
      <c r="F136"/>
    </row>
    <row r="137" spans="6:6">
      <c r="F137"/>
    </row>
    <row r="138" spans="6:6">
      <c r="F138"/>
    </row>
    <row r="139" spans="6:6">
      <c r="F139"/>
    </row>
    <row r="140" spans="6:6">
      <c r="F140"/>
    </row>
    <row r="141" spans="6:6">
      <c r="F141"/>
    </row>
    <row r="142" spans="6:6">
      <c r="F142"/>
    </row>
    <row r="143" spans="6:6">
      <c r="F143"/>
    </row>
    <row r="144" spans="6:6">
      <c r="F144"/>
    </row>
    <row r="145" spans="6:6">
      <c r="F145"/>
    </row>
    <row r="146" spans="6:6">
      <c r="F146"/>
    </row>
    <row r="147" spans="6:6">
      <c r="F147"/>
    </row>
    <row r="148" spans="6:6">
      <c r="F148"/>
    </row>
    <row r="149" spans="6:6">
      <c r="F149"/>
    </row>
    <row r="150" spans="6:6">
      <c r="F150"/>
    </row>
    <row r="151" spans="6:6">
      <c r="F151"/>
    </row>
    <row r="152" spans="6:6">
      <c r="F152"/>
    </row>
    <row r="153" spans="6:6">
      <c r="F153"/>
    </row>
    <row r="154" spans="6:6">
      <c r="F154"/>
    </row>
    <row r="155" spans="6:6">
      <c r="F155"/>
    </row>
    <row r="156" spans="6:6">
      <c r="F156"/>
    </row>
    <row r="157" spans="6:6">
      <c r="F157"/>
    </row>
    <row r="158" spans="6:6">
      <c r="F158"/>
    </row>
    <row r="159" spans="6:6">
      <c r="F159"/>
    </row>
    <row r="160" spans="6:6">
      <c r="F160"/>
    </row>
    <row r="161" spans="6:6">
      <c r="F161"/>
    </row>
    <row r="162" spans="6:6">
      <c r="F162"/>
    </row>
    <row r="163" spans="6:6">
      <c r="F163"/>
    </row>
    <row r="164" spans="6:6">
      <c r="F164"/>
    </row>
    <row r="165" spans="6:6">
      <c r="F165"/>
    </row>
    <row r="166" spans="6:6">
      <c r="F166"/>
    </row>
    <row r="167" spans="6:6">
      <c r="F167"/>
    </row>
    <row r="168" spans="6:6">
      <c r="F168"/>
    </row>
    <row r="169" spans="6:6">
      <c r="F169"/>
    </row>
    <row r="170" spans="6:6">
      <c r="F170"/>
    </row>
    <row r="171" spans="6:6">
      <c r="F171"/>
    </row>
    <row r="172" spans="6:6">
      <c r="F172"/>
    </row>
    <row r="173" spans="6:6">
      <c r="F173"/>
    </row>
    <row r="174" spans="6:6">
      <c r="F174"/>
    </row>
    <row r="175" spans="6:6">
      <c r="F175"/>
    </row>
    <row r="176" spans="6:6">
      <c r="F176"/>
    </row>
    <row r="177" spans="6:6">
      <c r="F177"/>
    </row>
    <row r="178" spans="6:6">
      <c r="F178"/>
    </row>
    <row r="179" spans="6:6">
      <c r="F179"/>
    </row>
    <row r="180" spans="6:6">
      <c r="F180"/>
    </row>
    <row r="181" spans="6:6">
      <c r="F181"/>
    </row>
    <row r="182" spans="6:6">
      <c r="F182"/>
    </row>
    <row r="183" spans="6:6">
      <c r="F183"/>
    </row>
    <row r="184" spans="6:6">
      <c r="F184"/>
    </row>
    <row r="185" spans="6:6">
      <c r="F185"/>
    </row>
    <row r="186" spans="6:14">
      <c r="F186"/>
      <c r="N186" s="1"/>
    </row>
    <row r="187" spans="6:14">
      <c r="F187"/>
      <c r="N187" s="1"/>
    </row>
    <row r="188" spans="6:14">
      <c r="F188"/>
      <c r="N188" s="1"/>
    </row>
    <row r="189" spans="6:14">
      <c r="F189"/>
      <c r="N189" s="1"/>
    </row>
    <row r="190" spans="6:14">
      <c r="F190"/>
      <c r="N190" s="1"/>
    </row>
    <row r="191" spans="6:14">
      <c r="F191"/>
      <c r="N191" s="1"/>
    </row>
    <row r="192" spans="6:14">
      <c r="F192"/>
      <c r="N192" s="1"/>
    </row>
    <row r="193" spans="6:14">
      <c r="F193"/>
      <c r="N193" s="1"/>
    </row>
    <row r="194" spans="6:14">
      <c r="F194"/>
      <c r="N194" s="1"/>
    </row>
    <row r="195" spans="6:14">
      <c r="F195"/>
      <c r="N195" s="1"/>
    </row>
    <row r="196" spans="6:14">
      <c r="F196"/>
      <c r="N196" s="1"/>
    </row>
    <row r="197" spans="6:14">
      <c r="F197"/>
      <c r="N197" s="1"/>
    </row>
    <row r="198" spans="6:14">
      <c r="F198"/>
      <c r="N198" s="1"/>
    </row>
    <row r="199" spans="6:14">
      <c r="F199"/>
      <c r="N199" s="1"/>
    </row>
    <row r="200" spans="6:14">
      <c r="F200"/>
      <c r="N200" s="1"/>
    </row>
    <row r="201" spans="6:14">
      <c r="F201"/>
      <c r="N201" s="1"/>
    </row>
    <row r="202" spans="6:14">
      <c r="F202"/>
      <c r="N202" s="1"/>
    </row>
    <row r="203" spans="6:14">
      <c r="F203"/>
      <c r="N203" s="1"/>
    </row>
    <row r="204" spans="6:14">
      <c r="F204"/>
      <c r="N204" s="1"/>
    </row>
    <row r="205" spans="6:14">
      <c r="F205"/>
      <c r="N205" s="1"/>
    </row>
    <row r="206" spans="6:14">
      <c r="F206"/>
      <c r="N206" s="1"/>
    </row>
    <row r="207" spans="6:14">
      <c r="F207"/>
      <c r="N207" s="1"/>
    </row>
    <row r="208" spans="6:14">
      <c r="F208"/>
      <c r="N208" s="1"/>
    </row>
    <row r="209" spans="6:14">
      <c r="F209"/>
      <c r="N209" s="1"/>
    </row>
    <row r="210" spans="6:14">
      <c r="F210"/>
      <c r="N210" s="1"/>
    </row>
    <row r="211" spans="6:14">
      <c r="F211"/>
      <c r="N211" s="1"/>
    </row>
    <row r="212" spans="6:6">
      <c r="F212"/>
    </row>
    <row r="213" spans="6:6">
      <c r="F213"/>
    </row>
    <row r="214" spans="6:6">
      <c r="F214"/>
    </row>
    <row r="215" spans="6:6">
      <c r="F215"/>
    </row>
    <row r="216" spans="6:6">
      <c r="F216"/>
    </row>
    <row r="217" spans="6:6">
      <c r="F217"/>
    </row>
    <row r="218" spans="6:6">
      <c r="F218"/>
    </row>
    <row r="219" spans="6:6">
      <c r="F219"/>
    </row>
    <row r="220" spans="6:6">
      <c r="F220"/>
    </row>
    <row r="221" spans="6:6">
      <c r="F221"/>
    </row>
    <row r="222" spans="6:6">
      <c r="F222"/>
    </row>
    <row r="223" spans="6:6">
      <c r="F223"/>
    </row>
    <row r="224" spans="6:6">
      <c r="F224"/>
    </row>
    <row r="225" spans="6:6">
      <c r="F225"/>
    </row>
    <row r="226" spans="6:6">
      <c r="F226"/>
    </row>
    <row r="227" spans="6:6">
      <c r="F227"/>
    </row>
    <row r="228" spans="6:6">
      <c r="F228"/>
    </row>
    <row r="229" spans="6:6">
      <c r="F229"/>
    </row>
    <row r="230" spans="6:6">
      <c r="F230"/>
    </row>
    <row r="231" spans="6:6">
      <c r="F231"/>
    </row>
    <row r="232" spans="6:6">
      <c r="F232"/>
    </row>
    <row r="233" spans="6:6">
      <c r="F233"/>
    </row>
    <row r="234" spans="6:6">
      <c r="F234"/>
    </row>
    <row r="235" spans="6:6">
      <c r="F235"/>
    </row>
    <row r="236" spans="6:6">
      <c r="F236"/>
    </row>
    <row r="237" spans="6:6">
      <c r="F237"/>
    </row>
    <row r="238" spans="6:6">
      <c r="F238"/>
    </row>
    <row r="239" spans="6:6">
      <c r="F239"/>
    </row>
    <row r="240" spans="6:6">
      <c r="F240"/>
    </row>
    <row r="241" spans="6:6">
      <c r="F241"/>
    </row>
    <row r="242" spans="6:6">
      <c r="F242"/>
    </row>
    <row r="243" spans="6:6">
      <c r="F243"/>
    </row>
    <row r="244" spans="6:6">
      <c r="F244"/>
    </row>
    <row r="245" spans="6:6">
      <c r="F245"/>
    </row>
    <row r="246" spans="6:6">
      <c r="F246"/>
    </row>
    <row r="247" spans="6:6">
      <c r="F247"/>
    </row>
    <row r="248" spans="6:6">
      <c r="F248"/>
    </row>
    <row r="249" spans="6:6">
      <c r="F249"/>
    </row>
    <row r="250" spans="6:6">
      <c r="F250"/>
    </row>
    <row r="251" spans="6:6">
      <c r="F251"/>
    </row>
    <row r="252" spans="6:6">
      <c r="F252"/>
    </row>
  </sheetData>
  <mergeCells count="26">
    <mergeCell ref="B1:L1"/>
    <mergeCell ref="H11:M12"/>
    <mergeCell ref="B51:M51"/>
    <mergeCell ref="I52:L52"/>
    <mergeCell ref="I53:L53"/>
    <mergeCell ref="I54:L54"/>
    <mergeCell ref="I55:L55"/>
    <mergeCell ref="I56:L56"/>
    <mergeCell ref="I57:L57"/>
    <mergeCell ref="I58:L58"/>
    <mergeCell ref="I59:L59"/>
    <mergeCell ref="I60:L60"/>
    <mergeCell ref="I61:L61"/>
    <mergeCell ref="I62:L62"/>
    <mergeCell ref="B65:M65"/>
    <mergeCell ref="G66:L66"/>
    <mergeCell ref="G67:L67"/>
    <mergeCell ref="G68:L68"/>
    <mergeCell ref="G69:L69"/>
    <mergeCell ref="G70:L70"/>
    <mergeCell ref="G71:L71"/>
    <mergeCell ref="G72:L72"/>
    <mergeCell ref="G73:L73"/>
    <mergeCell ref="G74:L74"/>
    <mergeCell ref="G75:L75"/>
    <mergeCell ref="G76:L76"/>
  </mergeCells>
  <conditionalFormatting sqref="D68">
    <cfRule type="cellIs" dxfId="0" priority="1" operator="lessThan">
      <formula>0</formula>
    </cfRule>
  </conditionalFormatting>
  <conditionalFormatting sqref="F53:F62">
    <cfRule type="cellIs" dxfId="1" priority="2" operator="lessThan">
      <formula>0%</formula>
    </cfRule>
  </conditionalFormatting>
  <conditionalFormatting sqref="F6:F9 F12:F15 F18:F22 F25:F26 F31:F33 F35 F37:F41 F44:F45 F47">
    <cfRule type="cellIs" dxfId="2" priority="3" operator="lessThan">
      <formula>0</formula>
    </cfRule>
  </conditionalFormatting>
  <conditionalFormatting sqref="D53:D62 D67 D69:D76">
    <cfRule type="cellIs" dxfId="3" priority="4" operator="lessThan">
      <formula>0</formula>
    </cfRule>
  </conditionalFormatting>
  <conditionalFormatting sqref="E53:E62">
    <cfRule type="cellIs" dxfId="4" priority="5" operator="lessThan">
      <formula>0</formula>
    </cfRule>
  </conditionalFormatting>
  <dataValidations count="3">
    <dataValidation sqref="F7" type="whole" operator="between" errorStyle="stop" allowBlank="1" showInputMessage="1" showErrorMessage="1" view="0">
      <formula1>1</formula1>
      <formula2>12</formula2>
    </dataValidation>
    <dataValidation sqref="F67 F69:F76" type="list" operator="between" errorStyle="stop" allowBlank="1" showInputMessage="1" showErrorMessage="1" view="0">
      <mc:AlternateContent xmlns:x12ac="http://schemas.microsoft.com/office/spreadsheetml/2011/1/ac" xmlns:mc="http://schemas.openxmlformats.org/markup-compatibility/2006">
        <mc:Choice Requires="x12ac">
          <x12ac:list>"Depot-AufRoadmap - noch nicht nutzbar",Festgeld</x12ac:list>
        </mc:Choice>
        <mc:Fallback>
          <formula1>"Depot-AufRoadmap - noch nicht nutzbar,Festgeld"</formula1>
        </mc:Fallback>
      </mc:AlternateContent>
    </dataValidation>
    <dataValidation sqref="F68" type="list" operator="between" errorStyle="stop" allowBlank="1" showInputMessage="1" showErrorMessage="1" view="0">
      <mc:AlternateContent xmlns:x12ac="http://schemas.microsoft.com/office/spreadsheetml/2011/1/ac" xmlns:mc="http://schemas.openxmlformats.org/markup-compatibility/2006">
        <mc:Choice Requires="x12ac">
          <x12ac:list>"Depot-AufRoadmap - noch nicht nutzbar",Festgeld</x12ac:list>
        </mc:Choice>
        <mc:Fallback>
          <formula1>"Depot-AufRoadmap - noch nicht nutzbar,Festgeld"</formula1>
        </mc:Fallback>
      </mc:AlternateContent>
    </dataValidation>
  </dataValidations>
  <printOptions>
    <extLst>
      <ext uri="smNativeData">
        <pm:pageFlags xmlns:pm="smNativeData" id="1783262951" printRowHead="0" printColHead="0" printHeadLine="0" printFootLine="0" autoHeightHeader="0" autoHeightFooter="0" fitToPageBoth="0"/>
      </ext>
    </extLst>
  </printOptions>
  <pageMargins left="0.000000" right="0.000000" top="0.000000" bottom="0.000000" header="0.393750" footer="0.393750"/>
  <pageSetup paperSize="9" fitToWidth="0" fitToHeight="1" pageOrder="overThenDown"/>
  <headerFooter>
    <extLst>
      <ext uri="smNativeData">
        <pm:header xmlns:pm="smNativeData" id="1783262951" l="56" r="56" t="56" b="56" borderId="0" fillId="0" vertical="0"/>
        <pm:footer xmlns:pm="smNativeData" id="1783262951" l="56" r="56" t="56" b="56" borderId="0" fillId="0" vertical="2"/>
        <pm:paperBin xmlns:pm="smNativeData" id="1783262951" Id="0" type="0" value="0"/>
        <pm:paperBin xmlns:pm="smNativeData" id="1783262951" Id="1" type="0" value="0"/>
      </ext>
    </extLst>
  </headerFooter>
  <drawing r:id="rId1"/>
  <legacyDrawing r:id="rId3"/>
  <extLst>
    <ext uri="smNativeData">
      <pm:sheetPrefs xmlns:pm="smNativeData" day="1783262951"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dimension ref="A1:BR90"/>
  <sheetViews>
    <sheetView colorId="22" defaultGridColor="0" view="normal" workbookViewId="0">
      <pane xSplit="2" ySplit="4" topLeftCell="C5" activePane="bottomRight" state="frozen"/>
      <selection pane="bottomRight" activeCell="A1" sqref="A1"/>
    </sheetView>
  </sheetViews>
  <sheetFormatPr baseColWidth="9" defaultColWidth="10.000000" defaultRowHeight="13.45"/>
  <cols>
    <col min="1" max="1" width="5.378378" customWidth="1" style="0"/>
    <col min="2" max="2" width="5.549550" customWidth="1" style="0"/>
    <col min="3" max="3" width="17.729730" customWidth="1" style="10"/>
    <col min="4" max="13" width="9.891892" customWidth="1" style="10"/>
    <col min="14" max="14" width="16.738739" customWidth="1" style="10"/>
    <col min="15" max="15" width="19.171171" customWidth="1" style="10"/>
    <col min="16" max="16" width="20.702703" customWidth="1" style="10"/>
    <col min="17" max="17" width="7.981982" customWidth="1" style="10"/>
    <col min="18" max="18" width="10.288288" customWidth="1" style="10"/>
    <col min="19" max="19" width="13.225225" customWidth="1" style="52"/>
    <col min="20" max="20" width="10.774775" customWidth="1" style="52"/>
    <col min="21" max="31" width="12.198198" customWidth="1" style="52"/>
    <col min="32" max="32" width="16.342342" customWidth="1" style="52"/>
    <col min="33" max="33" width="16.612613" customWidth="1" style="52"/>
    <col min="34" max="40" width="16.513514" customWidth="1" style="52"/>
    <col min="41" max="41" width="13.531532" customWidth="1" style="5"/>
    <col min="42" max="42" width="13.009009" customWidth="1" style="52"/>
    <col min="43" max="44" width="12.900901" customWidth="1" style="52"/>
    <col min="45" max="54" width="11.369369" customWidth="1" style="52"/>
    <col min="55" max="55" width="13.522523" customWidth="1" style="52"/>
    <col min="56" max="56" width="10.198198" customWidth="1" style="5"/>
    <col min="57" max="57" width="12.270270" customWidth="1" style="52"/>
    <col min="58" max="58" width="14.207207" customWidth="1" style="52"/>
    <col min="59" max="59" width="13.207207" customWidth="1" style="52"/>
    <col min="60" max="60" width="7.045045" customWidth="1" style="52"/>
    <col min="61" max="61" width="11.189189" customWidth="1" style="52"/>
    <col min="62" max="62" width="12.018018" customWidth="1" style="52"/>
    <col min="63" max="63" width="14.558559" customWidth="1" style="52"/>
    <col min="64" max="64" width="19.333333" customWidth="1" style="52"/>
    <col min="65" max="65" width="17.207207" customWidth="1" style="52"/>
    <col min="66" max="66" width="17.387387" customWidth="1" style="52"/>
    <col min="67" max="69" width="18.108108" customWidth="1" style="52"/>
    <col min="70" max="70" width="15.576577" customWidth="1" style="0"/>
  </cols>
  <sheetData>
    <row r="1" spans="3:67">
      <c r="C1" s="5"/>
      <c r="U1" s="53" t="s">
        <v>106</v>
      </c>
      <c r="AH1" s="71"/>
      <c r="AI1" s="71"/>
      <c r="AJ1" s="71"/>
      <c r="AK1" s="71"/>
      <c r="AL1" s="71"/>
      <c r="AM1" s="71"/>
      <c r="AN1" s="71"/>
      <c r="AO1" s="106" t="str">
        <f aca="1">"Die _jährliche_ Standard-Rendite von "&amp;Param.DepotRenditeDefault*100&amp;"% entspricht einer _monatlichen_ Rendite von "&amp;ROUND(((1+Param.DepotRenditeDefault)^(1/12)-1)*100,2)&amp;"%."</f>
        <v>Die _jährliche_ Standard-Rendite von 6% entspricht einer _monatlichen_ Rendite von 0,49%.</v>
      </c>
      <c r="BJ1" s="107" t="str">
        <f>IF(MIN(BJ5:BJ90)&lt;0,"Festgeld negativ","Festgeld positiv")</f>
        <v>Festgeld positiv</v>
      </c>
      <c r="BM1" s="83" t="s">
        <v>107</v>
      </c>
      <c r="BO1"/>
    </row>
    <row r="2" spans="4:70">
      <c r="D2" s="36" t="s">
        <v>108</v>
      </c>
      <c r="I2"/>
      <c r="J2" s="36"/>
      <c r="K2" s="36"/>
      <c r="L2" s="36"/>
      <c r="M2" s="36"/>
      <c r="S2" s="54" t="s">
        <v>50</v>
      </c>
      <c r="T2" s="54"/>
      <c r="U2" s="54"/>
      <c r="V2" s="54"/>
      <c r="W2" s="54"/>
      <c r="X2" s="54"/>
      <c r="Y2" s="54"/>
      <c r="Z2" s="54"/>
      <c r="AA2" s="54"/>
      <c r="AB2" s="54"/>
      <c r="AC2" s="54"/>
      <c r="AD2" s="54"/>
      <c r="AE2" s="54"/>
      <c r="AF2" s="54"/>
      <c r="AG2" s="54"/>
      <c r="AH2" s="54"/>
      <c r="AI2" s="54"/>
      <c r="AJ2" s="54"/>
      <c r="AK2" s="54"/>
      <c r="AL2" s="54"/>
      <c r="AM2" s="54"/>
      <c r="AN2" s="54"/>
      <c r="AO2" s="31"/>
      <c r="AP2" s="59" t="s">
        <v>103</v>
      </c>
      <c r="AQ2" s="59"/>
      <c r="AR2" s="59"/>
      <c r="AS2" s="59"/>
      <c r="AT2" s="59"/>
      <c r="AU2" s="59"/>
      <c r="AV2" s="59"/>
      <c r="AW2" s="59"/>
      <c r="AX2" s="59"/>
      <c r="AY2" s="59"/>
      <c r="AZ2" s="59"/>
      <c r="BA2" s="59"/>
      <c r="BB2" s="59"/>
      <c r="BC2" s="59"/>
      <c r="BD2" s="28"/>
      <c r="BE2" s="59"/>
      <c r="BF2" s="59"/>
      <c r="BG2" s="59"/>
      <c r="BH2" s="59"/>
      <c r="BI2" s="59"/>
      <c r="BJ2" s="59"/>
      <c r="BM2" s="83" t="str">
        <f>"Jahr: "&amp;IF(MIN(BM5:BM100)=0,"unendlich",MIN(BM5:BM100)-1&amp;" (Unzureichend ab: "&amp;MIN(BM5:BM100))&amp;")"</f>
        <v>Jahr: 2078 (Unzureichend ab: 2079)</v>
      </c>
      <c r="BR2" s="64" t="s">
        <v>109</v>
      </c>
    </row>
    <row r="3" spans="4:65">
      <c r="D3" s="36"/>
      <c r="E3" s="51"/>
      <c r="F3" s="51"/>
      <c r="G3" s="51"/>
      <c r="H3" s="51"/>
      <c r="I3" s="35"/>
      <c r="J3" s="36"/>
      <c r="K3" s="36"/>
      <c r="L3" s="36"/>
      <c r="M3" s="36"/>
      <c r="P3" s="68" t="s">
        <v>110</v>
      </c>
      <c r="Q3" s="68"/>
      <c r="R3" s="68"/>
      <c r="S3" s="54"/>
      <c r="T3" s="54"/>
      <c r="U3" s="54"/>
      <c r="V3" s="111" t="s">
        <v>111</v>
      </c>
      <c r="W3" s="111"/>
      <c r="X3" s="111"/>
      <c r="Y3" s="111"/>
      <c r="Z3" s="111"/>
      <c r="AA3" s="111"/>
      <c r="AB3" s="111"/>
      <c r="AC3" s="111"/>
      <c r="AD3" s="111"/>
      <c r="AE3" s="111"/>
      <c r="AF3" s="54"/>
      <c r="AG3" s="54"/>
      <c r="AH3" s="54"/>
      <c r="AI3" s="54"/>
      <c r="AJ3" s="54"/>
      <c r="AK3" s="54"/>
      <c r="AL3" s="54"/>
      <c r="AM3" s="54"/>
      <c r="AN3" s="54"/>
      <c r="AO3" s="31"/>
      <c r="AP3" s="59"/>
      <c r="AQ3" s="59"/>
      <c r="AR3" s="59"/>
      <c r="AS3" s="60" t="s">
        <v>112</v>
      </c>
      <c r="AT3" s="60"/>
      <c r="AU3" s="60"/>
      <c r="AV3" s="60"/>
      <c r="AW3" s="60"/>
      <c r="AX3" s="60"/>
      <c r="AY3" s="60"/>
      <c r="AZ3" s="60"/>
      <c r="BA3" s="60"/>
      <c r="BB3" s="60"/>
      <c r="BC3" s="59"/>
      <c r="BD3" s="28"/>
      <c r="BE3" s="59"/>
      <c r="BF3" s="59"/>
      <c r="BG3" s="59"/>
      <c r="BH3" s="59"/>
      <c r="BI3" s="59"/>
      <c r="BJ3" s="59"/>
      <c r="BM3" s="83" t="str">
        <f aca="1">"Alter: "&amp;MIN(FIRE!BM5:BM100)-Param.Startjahr+Param.Startalter-1</f>
        <v>Alter: 82</v>
      </c>
    </row>
    <row r="4" spans="1:70">
      <c r="A4" s="3" t="s">
        <v>100</v>
      </c>
      <c r="B4" s="3" t="s">
        <v>113</v>
      </c>
      <c r="C4" s="16" t="s">
        <v>114</v>
      </c>
      <c r="D4" s="38" t="str">
        <f aca="1">Param.SonstigRegelmBeschreib1</f>
        <v>Staatl. Rente (erwarteter Betrag im 1. Jahr der Rentenzahlung)</v>
      </c>
      <c r="E4" s="38" t="str">
        <f aca="1">Param.SonstigRegelmBeschreib2</f>
        <v>Krankenversicherung (KV)</v>
      </c>
      <c r="F4" s="38" t="str">
        <f aca="1">Param.SonstigRegelmBeschreib3</f>
        <v>Mieteinkunft</v>
      </c>
      <c r="G4" s="38">
        <f aca="1">Param.SonstigRegelmBeschreib4</f>
        <v>0</v>
      </c>
      <c r="H4" s="38">
        <f aca="1">Param.SonstigRegelmBeschreib5</f>
        <v>0</v>
      </c>
      <c r="I4" s="38">
        <f aca="1">Param.SonstigRegelmBeschreib6</f>
        <v>0</v>
      </c>
      <c r="J4" s="38">
        <f aca="1">Param.SonstigRegelmBeschreib7</f>
        <v>0</v>
      </c>
      <c r="K4" s="38">
        <f aca="1">Param.SonstigRegelmBeschreib8</f>
        <v>0</v>
      </c>
      <c r="L4" s="38">
        <f aca="1">Param.SonstigRegelmBeschreib9</f>
        <v>0</v>
      </c>
      <c r="M4" s="38">
        <f aca="1">Param.SonstigRegelmBeschreib10</f>
        <v>0</v>
      </c>
      <c r="N4" s="16" t="s">
        <v>115</v>
      </c>
      <c r="O4" s="16" t="s">
        <v>116</v>
      </c>
      <c r="P4" s="32" t="s">
        <v>117</v>
      </c>
      <c r="Q4" s="116" t="s">
        <v>118</v>
      </c>
      <c r="R4" s="116" t="s">
        <v>119</v>
      </c>
      <c r="S4" s="56" t="s">
        <v>120</v>
      </c>
      <c r="T4" s="55" t="s">
        <v>121</v>
      </c>
      <c r="U4" s="57" t="s">
        <v>122</v>
      </c>
      <c r="V4" s="112" t="str">
        <f aca="1">IF(Param.SonstigEinmaligKonto1="Depot",Param.SonstigEinmaligBeschreib1,"")</f>
        <v/>
      </c>
      <c r="W4" s="112" t="str">
        <f aca="1">IF(Param.SonstigEinmaligKonto2="Depot",Param.SonstigEinmaligBeschreib2,"")</f>
        <v/>
      </c>
      <c r="X4" s="112" t="str">
        <f aca="1">IF(Param.SonstigEinmaligKonto3="Depot",Param.SonstigEinmaligBeschreib3,"")</f>
        <v/>
      </c>
      <c r="Y4" s="112" t="str">
        <f aca="1">IF(Param.SonstigEinmaligKonto4="Depot",Param.SonstigEinmaligBeschreib4,"")</f>
        <v/>
      </c>
      <c r="Z4" s="112" t="str">
        <f aca="1">IF(Param.SonstigEinmaligKonto5="Depot",Param.SonstigEinmaligBeschreib5,"")</f>
        <v/>
      </c>
      <c r="AA4" s="112" t="str">
        <f aca="1">IF(Param.SonstigEinmaligKonto6="Depot",Param.SonstigEinmaligBeschreib6,"")</f>
        <v/>
      </c>
      <c r="AB4" s="112" t="str">
        <f aca="1">IF(Param.SonstigEinmaligKonto7="Depot",Param.SonstigEinmaligBeschreib7,"")</f>
        <v/>
      </c>
      <c r="AC4" s="112" t="str">
        <f aca="1">IF(Param.SonstigEinmaligKonto8="Depot",Param.SonstigEinmaligBeschreib8,"")</f>
        <v/>
      </c>
      <c r="AD4" s="112" t="str">
        <f aca="1">IF(Param.SonstigEinmaligKonto9="Depot",Param.SonstigEinmaligBeschreib9,"")</f>
        <v/>
      </c>
      <c r="AE4" s="112" t="str">
        <f aca="1">IF(Param.SonstigEinmaligKonto10="Depot",Param.SonstigEinmaligBeschreib10,"")</f>
        <v/>
      </c>
      <c r="AF4" s="55" t="s">
        <v>123</v>
      </c>
      <c r="AG4" s="78" t="s">
        <v>124</v>
      </c>
      <c r="AH4" s="78" t="s">
        <v>125</v>
      </c>
      <c r="AI4" s="78" t="s">
        <v>126</v>
      </c>
      <c r="AJ4" s="81" t="s">
        <v>127</v>
      </c>
      <c r="AK4" s="81" t="s">
        <v>128</v>
      </c>
      <c r="AL4" s="61" t="s">
        <v>129</v>
      </c>
      <c r="AM4" s="81" t="s">
        <v>130</v>
      </c>
      <c r="AN4" s="81" t="s">
        <v>131</v>
      </c>
      <c r="AO4" s="105" t="s">
        <v>132</v>
      </c>
      <c r="AP4" s="62" t="s">
        <v>133</v>
      </c>
      <c r="AQ4" s="80" t="s">
        <v>134</v>
      </c>
      <c r="AR4" s="80" t="s">
        <v>135</v>
      </c>
      <c r="AS4" s="72" t="str">
        <f aca="1">IF(Param.SonstigEinmaligKonto1="Festgeld",Param.SonstigEinmaligBeschreib1,"")</f>
        <v>Auszahlung Kapitallebensversicherung (Einmalzahlung)</v>
      </c>
      <c r="AT4" s="72" t="str">
        <f aca="1">IF(Param.SonstigEinmaligKonto2="Festgeld",Param.SonstigEinmaligBeschreib2,"")</f>
        <v>Autokauf</v>
      </c>
      <c r="AU4" s="72" t="str">
        <f aca="1">IF(Param.SonstigEinmaligKonto3="Festgeld",Param.SonstigEinmaligBeschreib3,"")</f>
        <v>Verkauf Immobilie</v>
      </c>
      <c r="AV4" s="72" t="str">
        <f aca="1">IF(Param.SonstigEinmaligKonto4="Festgeld",Param.SonstigEinmaligBeschreib4,"")</f>
        <v/>
      </c>
      <c r="AW4" s="72" t="str">
        <f aca="1">IF(Param.SonstigEinmaligKonto5="Festgeld",Param.SonstigEinmaligBeschreib5,"")</f>
        <v/>
      </c>
      <c r="AX4" s="72" t="str">
        <f aca="1">IF(Param.SonstigEinmaligKonto6="Festgeld",Param.SonstigEinmaligBeschreib6,"")</f>
        <v/>
      </c>
      <c r="AY4" s="72" t="str">
        <f aca="1">IF(Param.SonstigEinmaligKonto7="Festgeld",Param.SonstigEinmaligBeschreib7,"")</f>
        <v/>
      </c>
      <c r="AZ4" s="72" t="str">
        <f aca="1">IF(Param.SonstigEinmaligKonto8="Festgeld",Param.SonstigEinmaligBeschreib8,"")</f>
        <v/>
      </c>
      <c r="BA4" s="72" t="str">
        <f aca="1">IF(Param.SonstigEinmaligKonto9="Festgeld",Param.SonstigEinmaligBeschreib9,"")</f>
        <v/>
      </c>
      <c r="BB4" s="72" t="str">
        <f aca="1">IF(Param.SonstigEinmaligKonto10="Festgeld",Param.SonstigEinmaligBeschreib10,"")</f>
        <v/>
      </c>
      <c r="BC4" s="79" t="s">
        <v>136</v>
      </c>
      <c r="BD4" s="29" t="s">
        <v>137</v>
      </c>
      <c r="BE4" s="65" t="s">
        <v>138</v>
      </c>
      <c r="BF4" s="62" t="s">
        <v>139</v>
      </c>
      <c r="BG4" s="65" t="s">
        <v>140</v>
      </c>
      <c r="BH4" s="65" t="s">
        <v>126</v>
      </c>
      <c r="BI4" s="65" t="s">
        <v>141</v>
      </c>
      <c r="BJ4" s="61" t="s">
        <v>142</v>
      </c>
      <c r="BK4" s="66" t="s">
        <v>143</v>
      </c>
      <c r="BL4" s="66" t="s">
        <v>144</v>
      </c>
      <c r="BM4" s="73" t="s">
        <v>145</v>
      </c>
      <c r="BN4" s="67" t="s">
        <v>146</v>
      </c>
      <c r="BO4" s="67" t="s">
        <v>147</v>
      </c>
      <c r="BP4" s="82" t="s">
        <v>148</v>
      </c>
      <c r="BQ4" s="82" t="s">
        <v>149</v>
      </c>
      <c r="BR4" s="15" t="s">
        <v>150</v>
      </c>
    </row>
    <row r="5" spans="1:70">
      <c r="A5">
        <f>Parameter!F6</f>
        <v>2026</v>
      </c>
      <c r="B5">
        <f aca="1">Param.Startalter</f>
        <v>30</v>
      </c>
      <c r="C5" s="10">
        <f aca="1">IF(A5&lt;Param.FireStartjahr,0,Param.EntnahmeBetragStart*(1+Param.Inflationsrate)^(A5-Param.Startjahr))</f>
        <v>0</v>
      </c>
      <c r="D5" s="40">
        <f aca="1">IF(OR($A5&lt;Param.SonstigRegelmJahrBeginn1,$A5&gt;Param.SonstigRegelmJahrEnd1),0,Param.SonstigRegelmBetragJaehrl1*(1+Param.SonstigRegelmSteig1)^(A5-Param.SonstigRegelmJahrBeginn1))</f>
        <v>0</v>
      </c>
      <c r="E5" s="40">
        <f aca="1">IF(OR($A5&lt;Param.SonstigRegelmJahrBeginn2,$A5&gt;Param.SonstigRegelmJahrEnd2),0,Param.SonstigRegelmBetragJaehrl2*(1+Param.SonstigRegelmSteig2)^($A5-Param.SonstigRegelmJahrBeginn2))</f>
        <v>0</v>
      </c>
      <c r="F5" s="40">
        <f aca="1">IF(OR($A5&lt;Param.SonstigRegelmJahrBeginn3,$A5&gt;Param.SonstigRegelmJahrEnd3),0,Param.SonstigRegelmBetragJaehrl3*(1+Param.SonstigRegelmSteig3)^($A5-Param.SonstigRegelmJahrBeginn3))</f>
        <v>0</v>
      </c>
      <c r="G5" s="40">
        <f aca="1">IF(OR($A5&lt;Param.SonstigRegelmJahrBeginn4,$A5&gt;Param.SonstigRegelmJahrEnd4),0,Param.SonstigRegelmBetragJaehrl4*(1+Param.SonstigRegelmSteig4)^($A5-Param.SonstigRegelmJahrBeginn4))</f>
        <v>0</v>
      </c>
      <c r="H5" s="40">
        <f aca="1">IF(OR($A5&lt;Param.SonstigRegelmJahrBeginn5,$A5&gt;Param.SonstigRegelmJahrEnd5),0,Param.SonstigRegelmBetragJaehrl5*(1+Param.SonstigRegelmSteig5)^($A5-Param.SonstigRegelmJahrBeginn5))</f>
        <v>0</v>
      </c>
      <c r="I5" s="40">
        <f aca="1">IF(OR($A5&lt;Param.SonstigRegelmJahrBeginn6,$A5&gt;Param.SonstigRegelmJahrEnd6),0,Param.SonstigRegelmBetragJaehrl6*(1+Param.SonstigRegelmSteig6)^($A5-Param.SonstigRegelmJahrBeginn6))</f>
        <v>0</v>
      </c>
      <c r="J5" s="40">
        <f aca="1">IF(OR($A5&lt;Param.SonstigRegelmJahrBeginn7,$A5&gt;Param.SonstigRegelmJahrEnd7),0,Param.SonstigRegelmBetragJaehrl7*(1+Param.SonstigRegelmSteig7)^($A5-Param.SonstigRegelmJahrBeginn7))</f>
        <v>0</v>
      </c>
      <c r="K5" s="40">
        <f aca="1">IF(OR($A5&lt;Param.SonstigRegelmJahrBeginn8,$A5&gt;Param.SonstigRegelmJahrEnd8),0,Param.SonstigRegelmBetragJaehrl8*(1+Param.SonstigRegelmSteig8)^($A5-Param.SonstigRegelmJahrBeginn8))</f>
        <v>0</v>
      </c>
      <c r="L5" s="40">
        <f aca="1">IF(OR($A5&lt;Param.SonstigRegelmJahrBeginn9,$A5&gt;Param.SonstigRegelmJahrEnd9),0,Param.SonstigRegelmBetragJaehrl9*(1+Param.SonstigRegelmSteig9)^($A5-Param.SonstigRegelmJahrBeginn9))</f>
        <v>0</v>
      </c>
      <c r="M5" s="40">
        <f aca="1">IF(OR($A5&lt;Param.SonstigRegelmJahrBeginn10,$A5&gt;Param.SonstigRegelmJahrEnd10),0,Param.SonstigRegelmBetragJaehrl10*(1+Param.SonstigRegelmSteig10)^($A5-Param.SonstigRegelmJahrBeginn10))</f>
        <v>0</v>
      </c>
      <c r="N5" s="10">
        <f>MAX(0,C5-SUM(D5:M5))</f>
        <v>0</v>
      </c>
      <c r="O5" s="10">
        <f>IF(N5&lt;=0,SUM(D5:M5)-C5,0)</f>
        <v>0</v>
      </c>
      <c r="P5" s="10">
        <f>S5+AP5</f>
        <v>400000</v>
      </c>
      <c r="Q5" s="11">
        <f>IF(P5&gt;0,S5/P5,0)</f>
        <v>0.75</v>
      </c>
      <c r="R5" s="11">
        <f>IF(P5&gt;0,AP5/P5,0)</f>
        <v>0.25</v>
      </c>
      <c r="S5" s="58">
        <f aca="1">Param.DeportwertStart</f>
        <v>300000</v>
      </c>
      <c r="T5" s="58">
        <f aca="1">Param.DeportwertStartPerformAnteil</f>
        <v>120000</v>
      </c>
      <c r="U5" s="40">
        <f aca="1">IF(A5&lt;Param.FireStartjahr,Param.SparrateDepotMonatl*(13-Param.StartmonatVermoegensstand)*(1+Param.SparrateDynamikJaehrl)^($A5-Param.Startjahr),0)</f>
        <v>3500</v>
      </c>
      <c r="V5" s="40">
        <f aca="1">IF(AND(Param.SonstigEinmaligKonto1="Depot",$A5=Param.SonstigEinmaligJahr1),Param.SonstigEinmaligBetrag1,0)</f>
        <v>0</v>
      </c>
      <c r="W5" s="40">
        <f aca="1">IF(AND(Param.SonstigEinmaligKonto2="Depot",$A5=Param.SonstigEinmaligJahr2),Param.SonstigEinmaligBetrag2,0)</f>
        <v>0</v>
      </c>
      <c r="X5" s="40">
        <f aca="1">IF(AND(Param.SonstigEinmaligKonto3="Depot",$A5=Param.SonstigEinmaligJahr3),Param.SonstigEinmaligBetrag3,0)</f>
        <v>0</v>
      </c>
      <c r="Y5" s="40">
        <f aca="1">IF(AND(Param.SonstigEinmaligKonto4="Depot",$A5=Param.SonstigEinmaligJahr4),Param.SonstigEinmaligBetrag4,0)</f>
        <v>0</v>
      </c>
      <c r="Z5" s="40">
        <f aca="1">IF(AND(Param.SonstigEinmaligKonto5="Depot",$A5=Param.SonstigEinmaligJahr5),Param.SonstigEinmaligBetrag5,0)</f>
        <v>0</v>
      </c>
      <c r="AA5" s="40">
        <f aca="1">IF(AND(Param.SonstigEinmaligKonto6="Depot",$A5=Param.SonstigEinmaligJahr6),Param.SonstigEinmaligBetrag6,0)</f>
        <v>0</v>
      </c>
      <c r="AB5" s="40">
        <f aca="1">IF(AND(Param.SonstigEinmaligKonto7="Depot",$A5=Param.SonstigEinmaligJahr7),Param.SonstigEinmaligBetrag7,0)</f>
        <v>0</v>
      </c>
      <c r="AC5" s="40">
        <f aca="1">IF(AND(Param.SonstigEinmaligKonto8="Depot",$A5=Param.SonstigEinmaligJahr8),Param.SonstigEinmaligBetrag8,0)</f>
        <v>0</v>
      </c>
      <c r="AD5" s="40">
        <f aca="1">IF(AND(Param.SonstigEinmaligKonto9="Depot",$A5=Param.SonstigEinmaligJahr9),Param.SonstigEinmaligBetrag9,0)</f>
        <v>0</v>
      </c>
      <c r="AE5" s="40">
        <f aca="1">IF(AND(Param.SonstigEinmaligKonto10="Depot",$A5=Param.SonstigEinmaligJahr10),Param.SonstigEinmaligBetrag10,0)</f>
        <v>0</v>
      </c>
      <c r="AF5" s="40">
        <f aca="1">Param.SparerPauschbetrag-BF5</f>
        <v>0</v>
      </c>
      <c r="AG5" s="40">
        <f aca="1">IF(AND(A5&gt;=Param.FireStartjahr,S5&gt;0),MIN(N5*Q5,S5),0)</f>
        <v>0</v>
      </c>
      <c r="AH5" s="40">
        <f aca="1">IF(AG5&lt;=0,0,IF(S5&lt;=0,0,AG5/(1-MAX(0,((T5/S5)*(1-Param.Teilfreistellung)-MIN(AF5,AG5)/AG5)*Param.KapSt))))</f>
        <v>0</v>
      </c>
      <c r="AI5" s="40">
        <f>AH5-AG5</f>
        <v>0</v>
      </c>
      <c r="AJ5" s="40">
        <f>T5-AH5*(T5/S5)</f>
        <v>120000</v>
      </c>
      <c r="AK5" s="40">
        <f>S5-AH5</f>
        <v>300000</v>
      </c>
      <c r="AL5" s="58">
        <f aca="1">FV(AO5,(13-Param.StartmonatVermoegensstand),-(U5/(13-Param.StartmonatVermoegensstand)),-AK5,0)</f>
        <v>308743.6466264716</v>
      </c>
      <c r="AM5" s="40">
        <f>AJ5+AL5-AK5-U5</f>
        <v>125243.646626471993</v>
      </c>
      <c r="AN5" s="5">
        <f>AM5/AL5</f>
        <v>0.405655785940741254</v>
      </c>
      <c r="AO5" s="5">
        <f aca="1">(1+IF(AND(A5&gt;=Param.DepotRenditeSpezBeginn1,A5&lt;=Param.DepotRenditeSpezEnde1),Param.DepotRenditeSpezProz1,IF(AND(A5&gt;=Param.DepotRenditeSpezBeginn2,A5&lt;=Param.DepotRenditeSpezEnde2),Param.DepotRenditeSpezProz2,IF(AND(A5&gt;=Param.DepotRenditeSpezBeginn3,A5&lt;=Param.DepotRenditeSpezEnde3),Param.DepotRenditeSpezProz3,IF(AND(A5&gt;=Param.DepotRenditeSpezBeginn4,A5&lt;=Param.DepotRenditeSpezEnde4),Param.DepotRenditeSpezProz4,IF(AND(A5&gt;=Param.DepotRenditeSpezBeginn5,A5&lt;=Param.DepotRenditeSpezEnde5),Param.DepotRenditeSpezProz5,Param.DepotRenditeDefault))))))^(1/12)-1</f>
        <v>0.00246626977229991162</v>
      </c>
      <c r="AP5" s="58">
        <f aca="1">Param.FestgeldStart</f>
        <v>100000</v>
      </c>
      <c r="AQ5" s="40">
        <f aca="1">IF(A5&lt;Param.FireStartjahr,Param.SparrateFestgeldMonatl*(13-Param.StartmonatVermoegensstand)*(1+Param.SparrateDynamikJaehrl)^($A5-Param.Startjahr),0)</f>
        <v>1050</v>
      </c>
      <c r="AR5" s="40">
        <f>O5</f>
        <v>0</v>
      </c>
      <c r="AS5" s="40">
        <f aca="1">IF(AND(Param.SonstigEinmaligKonto1="Festgeld",$A5=Param.SonstigEinmaligJahr1),Param.SonstigEinmaligBetrag1,0)</f>
        <v>0</v>
      </c>
      <c r="AT5" s="40">
        <f aca="1">IF(AND(Param.SonstigEinmaligKonto2="Festgeld",$A5=Param.SonstigEinmaligJahr2),Param.SonstigEinmaligBetrag2,0)</f>
        <v>0</v>
      </c>
      <c r="AU5" s="40">
        <f aca="1">IF(AND(Param.SonstigEinmaligKonto3="Festgeld",$A5=Param.SonstigEinmaligJahr3),Param.SonstigEinmaligBetrag3,0)</f>
        <v>0</v>
      </c>
      <c r="AV5" s="40">
        <f aca="1">IF(AND(Param.SonstigEinmaligKonto4="Festgeld",$A5=Param.SonstigEinmaligJahr4),Param.SonstigEinmaligBetrag4,0)</f>
        <v>0</v>
      </c>
      <c r="AW5" s="40">
        <f aca="1">IF(AND(Param.SonstigEinmaligKonto5="Festgeld",$A5=Param.SonstigEinmaligJahr5),Param.SonstigEinmaligBetrag5,0)</f>
        <v>0</v>
      </c>
      <c r="AX5" s="40">
        <f aca="1">IF(AND(Param.SonstigEinmaligKonto6="Festgeld",$A5=Param.SonstigEinmaligJahr6),Param.SonstigEinmaligBetrag6,0)</f>
        <v>0</v>
      </c>
      <c r="AY5" s="40">
        <f aca="1">IF(AND(Param.SonstigEinmaligKonto7="Festgeld",$A5=Param.SonstigEinmaligJahr7),Param.SonstigEinmaligBetrag7,0)</f>
        <v>0</v>
      </c>
      <c r="AZ5" s="40">
        <f aca="1">IF(AND(Param.SonstigEinmaligKonto8="Festgeld",$A5=Param.SonstigEinmaligJahr8),Param.SonstigEinmaligBetrag8,0)</f>
        <v>0</v>
      </c>
      <c r="BA5" s="40">
        <f aca="1">IF(AND(Param.SonstigEinmaligKonto9="Festgeld",$A5=Param.SonstigEinmaligJahr9),Param.SonstigEinmaligBetrag9,0)</f>
        <v>0</v>
      </c>
      <c r="BB5" s="40">
        <f aca="1">IF(AND(Param.SonstigEinmaligKonto10="Festgeld",$A5=Param.SonstigEinmaligJahr10),Param.SonstigEinmaligBetrag10,0)</f>
        <v>0</v>
      </c>
      <c r="BC5" s="40">
        <f aca="1">IF(AND(A5&gt;=Param.FireStartjahr,AP5&gt;0),MIN(N5*R5,AP5),0)</f>
        <v>0</v>
      </c>
      <c r="BD5" s="5">
        <f aca="1">Param.FestgeldZinssatz</f>
        <v>0.02</v>
      </c>
      <c r="BE5" s="40">
        <f aca="1">(AP5+SUM(AQ5:BB5)-BC5)*BD5*(13-Param.StartmonatVermoegensstand)/12</f>
        <v>1178.91666666666674</v>
      </c>
      <c r="BF5" s="40">
        <f aca="1">IF(BE5&gt;Param.SparerPauschbetrag,Param.SparerPauschbetrag,BE5)</f>
        <v>1000</v>
      </c>
      <c r="BG5" s="40">
        <f>BE5-BF5</f>
        <v>178.916666666669926</v>
      </c>
      <c r="BH5" s="40">
        <f aca="1">BG5*Param.KapSt</f>
        <v>47.1892708333342128</v>
      </c>
      <c r="BI5" s="40">
        <f>BE5-BH5</f>
        <v>1131.72739583333578</v>
      </c>
      <c r="BJ5" s="63">
        <f>AP5+SUM(AQ5:BB5)-BC5+BI5</f>
        <v>102181.727395833339</v>
      </c>
      <c r="BK5" s="40">
        <f>AL5+BJ5</f>
        <v>410925.374022305012</v>
      </c>
      <c r="BL5" s="40">
        <f aca="1">BK5/(1+Param.Inflationsrate)^(A5-Param.Startjahr)</f>
        <v>410925.374022305012</v>
      </c>
      <c r="BM5" s="52" t="str">
        <f>IF(BK5&lt;N5,A5,"")</f>
        <v/>
      </c>
      <c r="BN5" s="40">
        <f>AH5+BC5</f>
        <v>0</v>
      </c>
      <c r="BO5" s="40">
        <f>SUM(AR5:BB5)</f>
        <v>0</v>
      </c>
      <c r="BP5" s="40">
        <f>BN5+(-1*BO5)</f>
        <v>0</v>
      </c>
      <c r="BQ5" s="40">
        <f>AI5+BH5</f>
        <v>47.1892708333341986</v>
      </c>
      <c r="BR5" s="5">
        <f>IF(BK5&gt;0,BP5/BK5,0)</f>
        <v>0</v>
      </c>
    </row>
    <row r="6" spans="1:70">
      <c r="A6">
        <f>A5+1</f>
        <v>2027</v>
      </c>
      <c r="B6">
        <f>B5+(2-1)</f>
        <v>31</v>
      </c>
      <c r="C6" s="10">
        <f aca="1">IF(A6&lt;Param.FireStartjahr,0,Param.EntnahmeBetragStart*(1+Param.Inflationsrate)^(A6-Param.Startjahr))</f>
        <v>0</v>
      </c>
      <c r="D6" s="40">
        <f aca="1">IF(OR($A6&lt;Param.SonstigRegelmJahrBeginn1,$A6&gt;Param.SonstigRegelmJahrEnd1),0,Param.SonstigRegelmBetragJaehrl1*(1+Param.SonstigRegelmSteig1)^(A6-Param.SonstigRegelmJahrBeginn1))</f>
        <v>0</v>
      </c>
      <c r="E6" s="40">
        <f aca="1">IF(OR($A6&lt;Param.SonstigRegelmJahrBeginn2,$A6&gt;Param.SonstigRegelmJahrEnd2),0,Param.SonstigRegelmBetragJaehrl2*(1+Param.SonstigRegelmSteig2)^($A6-Param.SonstigRegelmJahrBeginn2))</f>
        <v>0</v>
      </c>
      <c r="F6" s="40">
        <f aca="1">IF(OR($A6&lt;Param.SonstigRegelmJahrBeginn3,$A6&gt;Param.SonstigRegelmJahrEnd3),0,Param.SonstigRegelmBetragJaehrl3*(1+Param.SonstigRegelmSteig3)^($A6-Param.SonstigRegelmJahrBeginn3))</f>
        <v>0</v>
      </c>
      <c r="G6" s="40">
        <f aca="1">IF(OR($A6&lt;Param.SonstigRegelmJahrBeginn4,$A6&gt;Param.SonstigRegelmJahrEnd4),0,Param.SonstigRegelmBetragJaehrl4*(1+Param.SonstigRegelmSteig4)^($A6-Param.SonstigRegelmJahrBeginn4))</f>
        <v>0</v>
      </c>
      <c r="H6" s="40">
        <f aca="1">IF(OR($A6&lt;Param.SonstigRegelmJahrBeginn5,$A6&gt;Param.SonstigRegelmJahrEnd5),0,Param.SonstigRegelmBetragJaehrl5*(1+Param.SonstigRegelmSteig5)^($A6-Param.SonstigRegelmJahrBeginn5))</f>
        <v>0</v>
      </c>
      <c r="I6" s="40">
        <f aca="1">IF(OR($A6&lt;Param.SonstigRegelmJahrBeginn6,$A6&gt;Param.SonstigRegelmJahrEnd6),0,Param.SonstigRegelmBetragJaehrl6*(1+Param.SonstigRegelmSteig6)^($A6-Param.SonstigRegelmJahrBeginn6))</f>
        <v>0</v>
      </c>
      <c r="J6" s="40">
        <f aca="1">IF(OR($A6&lt;Param.SonstigRegelmJahrBeginn7,$A6&gt;Param.SonstigRegelmJahrEnd7),0,Param.SonstigRegelmBetragJaehrl7*(1+Param.SonstigRegelmSteig7)^($A6-Param.SonstigRegelmJahrBeginn7))</f>
        <v>0</v>
      </c>
      <c r="K6" s="40">
        <f aca="1">IF(OR($A6&lt;Param.SonstigRegelmJahrBeginn8,$A6&gt;Param.SonstigRegelmJahrEnd8),0,Param.SonstigRegelmBetragJaehrl8*(1+Param.SonstigRegelmSteig8)^($A6-Param.SonstigRegelmJahrBeginn8))</f>
        <v>0</v>
      </c>
      <c r="L6" s="40">
        <f aca="1">IF(OR($A6&lt;Param.SonstigRegelmJahrBeginn9,$A6&gt;Param.SonstigRegelmJahrEnd9),0,Param.SonstigRegelmBetragJaehrl9*(1+Param.SonstigRegelmSteig9)^($A6-Param.SonstigRegelmJahrBeginn9))</f>
        <v>0</v>
      </c>
      <c r="M6" s="40">
        <f aca="1">IF(OR($A6&lt;Param.SonstigRegelmJahrBeginn10,$A6&gt;Param.SonstigRegelmJahrEnd10),0,Param.SonstigRegelmBetragJaehrl10*(1+Param.SonstigRegelmSteig10)^($A6-Param.SonstigRegelmJahrBeginn10))</f>
        <v>0</v>
      </c>
      <c r="N6" s="10">
        <f>MAX(0,C6-SUM(D6:M6))</f>
        <v>0</v>
      </c>
      <c r="O6" s="10">
        <f>IF(N6&lt;=0,SUM(D6:M6)-C6,0)</f>
        <v>0</v>
      </c>
      <c r="P6" s="10">
        <f>S6+AP6</f>
        <v>410925.374022305012</v>
      </c>
      <c r="Q6" s="11">
        <f>IF(P6&gt;0,S6/P6,0)</f>
        <v>0.751337508327517867</v>
      </c>
      <c r="R6" s="11">
        <f>IF(P6&gt;0,AP6/P6,0)</f>
        <v>0.248662491672482089</v>
      </c>
      <c r="S6" s="10">
        <f>AL5</f>
        <v>308743.6466264716</v>
      </c>
      <c r="T6" s="40">
        <f>AM5</f>
        <v>125243.646626471993</v>
      </c>
      <c r="U6" s="40">
        <f aca="1">IF(A6&lt;Param.FireStartjahr,Param.SparrateDepotMonatl*12*(1+Param.SparrateDynamikJaehrl)^($A6-Param.Startjahr),0)</f>
        <v>6000</v>
      </c>
      <c r="V6" s="40">
        <f aca="1">IF(AND(Param.SonstigEinmaligKonto1="Depot",$A6=Param.SonstigEinmaligJahr1),Param.SonstigEinmaligBetrag1,0)</f>
        <v>0</v>
      </c>
      <c r="W6" s="40">
        <f aca="1">IF(AND(Param.SonstigEinmaligKonto2="Depot",$A6=Param.SonstigEinmaligJahr2),Param.SonstigEinmaligBetrag2,0)</f>
        <v>0</v>
      </c>
      <c r="X6" s="40">
        <f aca="1">IF(AND(Param.SonstigEinmaligKonto3="Depot",$A6=Param.SonstigEinmaligJahr3),Param.SonstigEinmaligBetrag3,0)</f>
        <v>0</v>
      </c>
      <c r="Y6" s="40">
        <f aca="1">IF(AND(Param.SonstigEinmaligKonto4="Depot",$A6=Param.SonstigEinmaligJahr4),Param.SonstigEinmaligBetrag4,0)</f>
        <v>0</v>
      </c>
      <c r="Z6" s="40">
        <f aca="1">IF(AND(Param.SonstigEinmaligKonto5="Depot",$A6=Param.SonstigEinmaligJahr5),Param.SonstigEinmaligBetrag5,0)</f>
        <v>0</v>
      </c>
      <c r="AA6" s="40">
        <f aca="1">IF(AND(Param.SonstigEinmaligKonto6="Depot",$A6=Param.SonstigEinmaligJahr6),Param.SonstigEinmaligBetrag6,0)</f>
        <v>0</v>
      </c>
      <c r="AB6" s="40">
        <f aca="1">IF(AND(Param.SonstigEinmaligKonto7="Depot",$A6=Param.SonstigEinmaligJahr7),Param.SonstigEinmaligBetrag7,0)</f>
        <v>0</v>
      </c>
      <c r="AC6" s="40">
        <f aca="1">IF(AND(Param.SonstigEinmaligKonto8="Depot",$A6=Param.SonstigEinmaligJahr8),Param.SonstigEinmaligBetrag8,0)</f>
        <v>0</v>
      </c>
      <c r="AD6" s="40">
        <f aca="1">IF(AND(Param.SonstigEinmaligKonto9="Depot",$A6=Param.SonstigEinmaligJahr9),Param.SonstigEinmaligBetrag9,0)</f>
        <v>0</v>
      </c>
      <c r="AE6" s="40">
        <f aca="1">IF(AND(Param.SonstigEinmaligKonto10="Depot",$A6=Param.SonstigEinmaligJahr10),Param.SonstigEinmaligBetrag10,0)</f>
        <v>0</v>
      </c>
      <c r="AF6" s="40">
        <f aca="1">Param.SparerPauschbetrag-BF6</f>
        <v>0</v>
      </c>
      <c r="AG6" s="40">
        <f aca="1">IF(AND(A6&gt;=Param.FireStartjahr,S6&gt;0),MIN(N6*Q6,S6),0)</f>
        <v>0</v>
      </c>
      <c r="AH6" s="40">
        <f aca="1">IF(AG6&lt;=0,0,IF(S6&lt;=0,0,AG6/(1-MAX(0,((T6/S6)*(1-Param.Teilfreistellung)-MIN(AF6,AG6)/AG6)*Param.KapSt))))</f>
        <v>0</v>
      </c>
      <c r="AI6" s="40">
        <f>AH6-AG6</f>
        <v>0</v>
      </c>
      <c r="AJ6" s="40">
        <f>T6-AH6*(T6/S6)</f>
        <v>125243.646626471993</v>
      </c>
      <c r="AK6" s="40">
        <f>S6-AH6</f>
        <v>308743.646626472007</v>
      </c>
      <c r="AL6" s="40">
        <f>FV(AO6,12,-(U6/12),-AK6,0)</f>
        <v>324088.015728716389</v>
      </c>
      <c r="AM6" s="40">
        <f>AJ6+AL6-AK6-U6</f>
        <v>134588.015728716011</v>
      </c>
      <c r="AN6" s="5">
        <f>AM6/AL6</f>
        <v>0.415282297391013255</v>
      </c>
      <c r="AO6" s="5">
        <f aca="1">(1+IF(AND(A6&gt;=Param.DepotRenditeSpezBeginn1,A6&lt;=Param.DepotRenditeSpezEnde1),Param.DepotRenditeSpezProz1,IF(AND(A6&gt;=Param.DepotRenditeSpezBeginn2,A6&lt;=Param.DepotRenditeSpezEnde2),Param.DepotRenditeSpezProz2,IF(AND(A6&gt;=Param.DepotRenditeSpezBeginn3,A6&lt;=Param.DepotRenditeSpezEnde3),Param.DepotRenditeSpezProz3,IF(AND(A6&gt;=Param.DepotRenditeSpezBeginn4,A6&lt;=Param.DepotRenditeSpezEnde4),Param.DepotRenditeSpezProz4,IF(AND(A6&gt;=Param.DepotRenditeSpezBeginn5,A6&lt;=Param.DepotRenditeSpezEnde5),Param.DepotRenditeSpezProz5,Param.DepotRenditeDefault))))))^(1/12)-1</f>
        <v>0.00246626977229991162</v>
      </c>
      <c r="AP6" s="40">
        <f>BJ5</f>
        <v>102181.727395833339</v>
      </c>
      <c r="AQ6" s="40">
        <f aca="1">IF(A6&lt;Param.FireStartjahr,Param.SparrateFestgeldMonatl*12*(1+Param.SparrateDynamikJaehrl)^($A6-Param.Startjahr),0)</f>
        <v>1800</v>
      </c>
      <c r="AR6" s="40">
        <f>O6</f>
        <v>0</v>
      </c>
      <c r="AS6" s="40">
        <f aca="1">IF(AND(Param.SonstigEinmaligKonto1="Festgeld",$A6=Param.SonstigEinmaligJahr1),Param.SonstigEinmaligBetrag1,0)</f>
        <v>0</v>
      </c>
      <c r="AT6" s="40">
        <f aca="1">IF(AND(Param.SonstigEinmaligKonto2="Festgeld",$A6=Param.SonstigEinmaligJahr2),Param.SonstigEinmaligBetrag2,0)</f>
        <v>0</v>
      </c>
      <c r="AU6" s="40">
        <f aca="1">IF(AND(Param.SonstigEinmaligKonto3="Festgeld",$A6=Param.SonstigEinmaligJahr3),Param.SonstigEinmaligBetrag3,0)</f>
        <v>0</v>
      </c>
      <c r="AV6" s="40">
        <f aca="1">IF(AND(Param.SonstigEinmaligKonto4="Festgeld",$A6=Param.SonstigEinmaligJahr4),Param.SonstigEinmaligBetrag4,0)</f>
        <v>0</v>
      </c>
      <c r="AW6" s="40">
        <f aca="1">IF(AND(Param.SonstigEinmaligKonto5="Festgeld",$A6=Param.SonstigEinmaligJahr5),Param.SonstigEinmaligBetrag5,0)</f>
        <v>0</v>
      </c>
      <c r="AX6" s="40">
        <f aca="1">IF(AND(Param.SonstigEinmaligKonto6="Festgeld",$A6=Param.SonstigEinmaligJahr6),Param.SonstigEinmaligBetrag6,0)</f>
        <v>0</v>
      </c>
      <c r="AY6" s="40">
        <f aca="1">IF(AND(Param.SonstigEinmaligKonto7="Festgeld",$A6=Param.SonstigEinmaligJahr7),Param.SonstigEinmaligBetrag7,0)</f>
        <v>0</v>
      </c>
      <c r="AZ6" s="40">
        <f aca="1">IF(AND(Param.SonstigEinmaligKonto8="Festgeld",$A6=Param.SonstigEinmaligJahr8),Param.SonstigEinmaligBetrag8,0)</f>
        <v>0</v>
      </c>
      <c r="BA6" s="40">
        <f aca="1">IF(AND(Param.SonstigEinmaligKonto9="Festgeld",$A6=Param.SonstigEinmaligJahr9),Param.SonstigEinmaligBetrag9,0)</f>
        <v>0</v>
      </c>
      <c r="BB6" s="40">
        <f aca="1">IF(AND(Param.SonstigEinmaligKonto10="Festgeld",$A6=Param.SonstigEinmaligJahr10),Param.SonstigEinmaligBetrag10,0)</f>
        <v>0</v>
      </c>
      <c r="BC6" s="40">
        <f aca="1">IF(AND(A6&gt;=Param.FireStartjahr,AP6&gt;0),MIN(N6*R6,AP6),0)</f>
        <v>0</v>
      </c>
      <c r="BD6" s="5">
        <f aca="1">Param.FestgeldZinssatz</f>
        <v>0.02</v>
      </c>
      <c r="BE6" s="40">
        <f>(AP6+SUM(AQ6:BB6)-BC6)*BD6</f>
        <v>2079.63454791666027</v>
      </c>
      <c r="BF6" s="40">
        <f aca="1">IF(BE6&gt;Param.SparerPauschbetrag,Param.SparerPauschbetrag,BE6)</f>
        <v>1000</v>
      </c>
      <c r="BG6" s="40">
        <f>BE6-BF6</f>
        <v>1079.63454791665981</v>
      </c>
      <c r="BH6" s="40">
        <f aca="1">BG6*Param.KapSt</f>
        <v>284.753612013019051</v>
      </c>
      <c r="BI6" s="40">
        <f>BE6-BH6</f>
        <v>1794.88093590364088</v>
      </c>
      <c r="BJ6" s="63">
        <f>AP6+SUM(AQ6:BB6)-BC6+BI6</f>
        <v>105776.608331736643</v>
      </c>
      <c r="BK6" s="40">
        <f>AL6+BJ6</f>
        <v>429864.624060452974</v>
      </c>
      <c r="BL6" s="40">
        <f aca="1">BK6/(1+Param.Inflationsrate)^(A6-Param.Startjahr)</f>
        <v>419380.121034588316</v>
      </c>
      <c r="BM6" s="52" t="str">
        <f>IF(BK6&lt;N6,A6,"")</f>
        <v/>
      </c>
      <c r="BN6" s="40">
        <f>AH6+BC6</f>
        <v>0</v>
      </c>
      <c r="BO6" s="40">
        <f>SUM(AR6:BB6)</f>
        <v>0</v>
      </c>
      <c r="BP6" s="40">
        <f>BN6+(-1*BO6)</f>
        <v>0</v>
      </c>
      <c r="BQ6" s="40">
        <f>AI6+BH6</f>
        <v>284.753612013018994</v>
      </c>
      <c r="BR6" s="5">
        <f>IF(BK6&gt;0,BP6/BK6,0)</f>
        <v>0</v>
      </c>
    </row>
    <row r="7" spans="1:70">
      <c r="A7">
        <f>A6+1</f>
        <v>2028</v>
      </c>
      <c r="B7">
        <f>B5+(3-1)</f>
        <v>32</v>
      </c>
      <c r="C7" s="10">
        <f aca="1">IF(A7&lt;Param.FireStartjahr,0,Param.EntnahmeBetragStart*(1+Param.Inflationsrate)^(A7-Param.Startjahr))</f>
        <v>0</v>
      </c>
      <c r="D7" s="40">
        <f aca="1">IF(OR($A7&lt;Param.SonstigRegelmJahrBeginn1,$A7&gt;Param.SonstigRegelmJahrEnd1),0,Param.SonstigRegelmBetragJaehrl1*(1+Param.SonstigRegelmSteig1)^(A7-Param.SonstigRegelmJahrBeginn1))</f>
        <v>0</v>
      </c>
      <c r="E7" s="40">
        <f aca="1">IF(OR($A7&lt;Param.SonstigRegelmJahrBeginn2,$A7&gt;Param.SonstigRegelmJahrEnd2),0,Param.SonstigRegelmBetragJaehrl2*(1+Param.SonstigRegelmSteig2)^($A7-Param.SonstigRegelmJahrBeginn2))</f>
        <v>0</v>
      </c>
      <c r="F7" s="40">
        <f aca="1">IF(OR($A7&lt;Param.SonstigRegelmJahrBeginn3,$A7&gt;Param.SonstigRegelmJahrEnd3),0,Param.SonstigRegelmBetragJaehrl3*(1+Param.SonstigRegelmSteig3)^($A7-Param.SonstigRegelmJahrBeginn3))</f>
        <v>3600</v>
      </c>
      <c r="G7" s="40">
        <f aca="1">IF(OR($A7&lt;Param.SonstigRegelmJahrBeginn4,$A7&gt;Param.SonstigRegelmJahrEnd4),0,Param.SonstigRegelmBetragJaehrl4*(1+Param.SonstigRegelmSteig4)^($A7-Param.SonstigRegelmJahrBeginn4))</f>
        <v>0</v>
      </c>
      <c r="H7" s="40">
        <f aca="1">IF(OR($A7&lt;Param.SonstigRegelmJahrBeginn5,$A7&gt;Param.SonstigRegelmJahrEnd5),0,Param.SonstigRegelmBetragJaehrl5*(1+Param.SonstigRegelmSteig5)^($A7-Param.SonstigRegelmJahrBeginn5))</f>
        <v>0</v>
      </c>
      <c r="I7" s="40">
        <f aca="1">IF(OR($A7&lt;Param.SonstigRegelmJahrBeginn6,$A7&gt;Param.SonstigRegelmJahrEnd6),0,Param.SonstigRegelmBetragJaehrl6*(1+Param.SonstigRegelmSteig6)^($A7-Param.SonstigRegelmJahrBeginn6))</f>
        <v>0</v>
      </c>
      <c r="J7" s="40">
        <f aca="1">IF(OR($A7&lt;Param.SonstigRegelmJahrBeginn7,$A7&gt;Param.SonstigRegelmJahrEnd7),0,Param.SonstigRegelmBetragJaehrl7*(1+Param.SonstigRegelmSteig7)^($A7-Param.SonstigRegelmJahrBeginn7))</f>
        <v>0</v>
      </c>
      <c r="K7" s="40">
        <f aca="1">IF(OR($A7&lt;Param.SonstigRegelmJahrBeginn8,$A7&gt;Param.SonstigRegelmJahrEnd8),0,Param.SonstigRegelmBetragJaehrl8*(1+Param.SonstigRegelmSteig8)^($A7-Param.SonstigRegelmJahrBeginn8))</f>
        <v>0</v>
      </c>
      <c r="L7" s="40">
        <f aca="1">IF(OR($A7&lt;Param.SonstigRegelmJahrBeginn9,$A7&gt;Param.SonstigRegelmJahrEnd9),0,Param.SonstigRegelmBetragJaehrl9*(1+Param.SonstigRegelmSteig9)^($A7-Param.SonstigRegelmJahrBeginn9))</f>
        <v>0</v>
      </c>
      <c r="M7" s="40">
        <f aca="1">IF(OR($A7&lt;Param.SonstigRegelmJahrBeginn10,$A7&gt;Param.SonstigRegelmJahrEnd10),0,Param.SonstigRegelmBetragJaehrl10*(1+Param.SonstigRegelmSteig10)^($A7-Param.SonstigRegelmJahrBeginn10))</f>
        <v>0</v>
      </c>
      <c r="N7" s="10">
        <f>MAX(0,C7-SUM(D7:M7))</f>
        <v>0</v>
      </c>
      <c r="O7" s="10">
        <f>IF(N7&lt;=0,SUM(D7:M7)-C7,0)</f>
        <v>3600</v>
      </c>
      <c r="P7" s="10">
        <f>S7+AP7</f>
        <v>429864.624060452974</v>
      </c>
      <c r="Q7" s="11">
        <f>IF(P7&gt;0,S7/P7,0)</f>
        <v>0.753930418063754537</v>
      </c>
      <c r="R7" s="11">
        <f>IF(P7&gt;0,AP7/P7,0)</f>
        <v>0.246069581936245507</v>
      </c>
      <c r="S7" s="10">
        <f>AL6</f>
        <v>324088.015728716389</v>
      </c>
      <c r="T7" s="40">
        <f>AM6</f>
        <v>134588.015728716011</v>
      </c>
      <c r="U7" s="40">
        <f aca="1">IF(A7&lt;Param.FireStartjahr,Param.SparrateDepotMonatl*12*(1+Param.SparrateDynamikJaehrl)^($A7-Param.Startjahr),0)</f>
        <v>6000</v>
      </c>
      <c r="V7" s="40">
        <f aca="1">IF(AND(Param.SonstigEinmaligKonto1="Depot",$A7=Param.SonstigEinmaligJahr1),Param.SonstigEinmaligBetrag1,0)</f>
        <v>0</v>
      </c>
      <c r="W7" s="40">
        <f aca="1">IF(AND(Param.SonstigEinmaligKonto2="Depot",$A7=Param.SonstigEinmaligJahr2),Param.SonstigEinmaligBetrag2,0)</f>
        <v>0</v>
      </c>
      <c r="X7" s="40">
        <f aca="1">IF(AND(Param.SonstigEinmaligKonto3="Depot",$A7=Param.SonstigEinmaligJahr3),Param.SonstigEinmaligBetrag3,0)</f>
        <v>0</v>
      </c>
      <c r="Y7" s="40">
        <f aca="1">IF(AND(Param.SonstigEinmaligKonto4="Depot",$A7=Param.SonstigEinmaligJahr4),Param.SonstigEinmaligBetrag4,0)</f>
        <v>0</v>
      </c>
      <c r="Z7" s="40">
        <f aca="1">IF(AND(Param.SonstigEinmaligKonto5="Depot",$A7=Param.SonstigEinmaligJahr5),Param.SonstigEinmaligBetrag5,0)</f>
        <v>0</v>
      </c>
      <c r="AA7" s="40">
        <f aca="1">IF(AND(Param.SonstigEinmaligKonto6="Depot",$A7=Param.SonstigEinmaligJahr6),Param.SonstigEinmaligBetrag6,0)</f>
        <v>0</v>
      </c>
      <c r="AB7" s="40">
        <f aca="1">IF(AND(Param.SonstigEinmaligKonto7="Depot",$A7=Param.SonstigEinmaligJahr7),Param.SonstigEinmaligBetrag7,0)</f>
        <v>0</v>
      </c>
      <c r="AC7" s="40">
        <f aca="1">IF(AND(Param.SonstigEinmaligKonto8="Depot",$A7=Param.SonstigEinmaligJahr8),Param.SonstigEinmaligBetrag8,0)</f>
        <v>0</v>
      </c>
      <c r="AD7" s="40">
        <f aca="1">IF(AND(Param.SonstigEinmaligKonto9="Depot",$A7=Param.SonstigEinmaligJahr9),Param.SonstigEinmaligBetrag9,0)</f>
        <v>0</v>
      </c>
      <c r="AE7" s="40">
        <f aca="1">IF(AND(Param.SonstigEinmaligKonto10="Depot",$A7=Param.SonstigEinmaligJahr10),Param.SonstigEinmaligBetrag10,0)</f>
        <v>0</v>
      </c>
      <c r="AF7" s="40">
        <f aca="1">Param.SparerPauschbetrag-BF7</f>
        <v>0</v>
      </c>
      <c r="AG7" s="40">
        <f aca="1">IF(AND(A7&gt;=Param.FireStartjahr,S7&gt;0),MIN(N7*Q7,S7),0)</f>
        <v>0</v>
      </c>
      <c r="AH7" s="40">
        <f aca="1">IF(AG7&lt;=0,0,IF(S7&lt;=0,0,AG7/(1-MAX(0,((T7/S7)*(1-Param.Teilfreistellung)-MIN(AF7,AG7)/AG7)*Param.KapSt))))</f>
        <v>0</v>
      </c>
      <c r="AI7" s="40">
        <f>AH7-AG7</f>
        <v>0</v>
      </c>
      <c r="AJ7" s="40">
        <f>T7-AH7*(T7/S7)</f>
        <v>134588.015728716011</v>
      </c>
      <c r="AK7" s="40">
        <f>S7-AH7</f>
        <v>324088.015728715982</v>
      </c>
      <c r="AL7" s="40">
        <f>FV(AO7,12,-(U7/12),-AK7,0)</f>
        <v>339892.715904026991</v>
      </c>
      <c r="AM7" s="40">
        <f>AJ7+AL7-AK7-U7</f>
        <v>144392.715904026991</v>
      </c>
      <c r="AN7" s="5">
        <f>AM7/AL7</f>
        <v>0.424818506392464457</v>
      </c>
      <c r="AO7" s="5">
        <f aca="1">(1+IF(AND(A7&gt;=Param.DepotRenditeSpezBeginn1,A7&lt;=Param.DepotRenditeSpezEnde1),Param.DepotRenditeSpezProz1,IF(AND(A7&gt;=Param.DepotRenditeSpezBeginn2,A7&lt;=Param.DepotRenditeSpezEnde2),Param.DepotRenditeSpezProz2,IF(AND(A7&gt;=Param.DepotRenditeSpezBeginn3,A7&lt;=Param.DepotRenditeSpezEnde3),Param.DepotRenditeSpezProz3,IF(AND(A7&gt;=Param.DepotRenditeSpezBeginn4,A7&lt;=Param.DepotRenditeSpezEnde4),Param.DepotRenditeSpezProz4,IF(AND(A7&gt;=Param.DepotRenditeSpezBeginn5,A7&lt;=Param.DepotRenditeSpezEnde5),Param.DepotRenditeSpezProz5,Param.DepotRenditeDefault))))))^(1/12)-1</f>
        <v>0.00246626977229991162</v>
      </c>
      <c r="AP7" s="40">
        <f>BJ6</f>
        <v>105776.608331736643</v>
      </c>
      <c r="AQ7" s="40">
        <f aca="1">IF(A7&lt;Param.FireStartjahr,Param.SparrateFestgeldMonatl*12*(1+Param.SparrateDynamikJaehrl)^($A7-Param.Startjahr),0)</f>
        <v>1800</v>
      </c>
      <c r="AR7" s="40">
        <f>O7</f>
        <v>3600</v>
      </c>
      <c r="AS7" s="40">
        <f aca="1">IF(AND(Param.SonstigEinmaligKonto1="Festgeld",$A7=Param.SonstigEinmaligJahr1),Param.SonstigEinmaligBetrag1,0)</f>
        <v>0</v>
      </c>
      <c r="AT7" s="40">
        <f aca="1">IF(AND(Param.SonstigEinmaligKonto2="Festgeld",$A7=Param.SonstigEinmaligJahr2),Param.SonstigEinmaligBetrag2,0)</f>
        <v>0</v>
      </c>
      <c r="AU7" s="40">
        <f aca="1">IF(AND(Param.SonstigEinmaligKonto3="Festgeld",$A7=Param.SonstigEinmaligJahr3),Param.SonstigEinmaligBetrag3,0)</f>
        <v>0</v>
      </c>
      <c r="AV7" s="40">
        <f aca="1">IF(AND(Param.SonstigEinmaligKonto4="Festgeld",$A7=Param.SonstigEinmaligJahr4),Param.SonstigEinmaligBetrag4,0)</f>
        <v>0</v>
      </c>
      <c r="AW7" s="40">
        <f aca="1">IF(AND(Param.SonstigEinmaligKonto5="Festgeld",$A7=Param.SonstigEinmaligJahr5),Param.SonstigEinmaligBetrag5,0)</f>
        <v>0</v>
      </c>
      <c r="AX7" s="40">
        <f aca="1">IF(AND(Param.SonstigEinmaligKonto6="Festgeld",$A7=Param.SonstigEinmaligJahr6),Param.SonstigEinmaligBetrag6,0)</f>
        <v>0</v>
      </c>
      <c r="AY7" s="40">
        <f aca="1">IF(AND(Param.SonstigEinmaligKonto7="Festgeld",$A7=Param.SonstigEinmaligJahr7),Param.SonstigEinmaligBetrag7,0)</f>
        <v>0</v>
      </c>
      <c r="AZ7" s="40">
        <f aca="1">IF(AND(Param.SonstigEinmaligKonto8="Festgeld",$A7=Param.SonstigEinmaligJahr8),Param.SonstigEinmaligBetrag8,0)</f>
        <v>0</v>
      </c>
      <c r="BA7" s="40">
        <f aca="1">IF(AND(Param.SonstigEinmaligKonto9="Festgeld",$A7=Param.SonstigEinmaligJahr9),Param.SonstigEinmaligBetrag9,0)</f>
        <v>0</v>
      </c>
      <c r="BB7" s="40">
        <f aca="1">IF(AND(Param.SonstigEinmaligKonto10="Festgeld",$A7=Param.SonstigEinmaligJahr10),Param.SonstigEinmaligBetrag10,0)</f>
        <v>0</v>
      </c>
      <c r="BC7" s="40">
        <f aca="1">IF(AND(A7&gt;=Param.FireStartjahr,AP7&gt;0),MIN(N7*R7,AP7),0)</f>
        <v>0</v>
      </c>
      <c r="BD7" s="5">
        <f aca="1">Param.FestgeldZinssatz</f>
        <v>0.02</v>
      </c>
      <c r="BE7" s="40">
        <f>(AP7+SUM(AQ7:BB7)-BC7)*BD7</f>
        <v>2223.53216663474041</v>
      </c>
      <c r="BF7" s="40">
        <f aca="1">IF(BE7&gt;Param.SparerPauschbetrag,Param.SparerPauschbetrag,BE7)</f>
        <v>1000</v>
      </c>
      <c r="BG7" s="40">
        <f>BE7-BF7</f>
        <v>1223.53216663473995</v>
      </c>
      <c r="BH7" s="40">
        <f aca="1">BG7*Param.KapSt</f>
        <v>322.706608949912663</v>
      </c>
      <c r="BI7" s="40">
        <f>BE7-BH7</f>
        <v>1900.82555768482689</v>
      </c>
      <c r="BJ7" s="63">
        <f>AP7+SUM(AQ7:BB7)-BC7+BI7</f>
        <v>113077.433889421838</v>
      </c>
      <c r="BK7" s="40">
        <f>AL7+BJ7</f>
        <v>452970.149793448974</v>
      </c>
      <c r="BL7" s="40">
        <f aca="1">BK7/(1+Param.Inflationsrate)^(A7-Param.Startjahr)</f>
        <v>431143.509618987737</v>
      </c>
      <c r="BM7" s="52" t="str">
        <f>IF(BK7&lt;N7,A7,"")</f>
        <v/>
      </c>
      <c r="BN7" s="40">
        <f>AH7+BC7</f>
        <v>0</v>
      </c>
      <c r="BO7" s="40">
        <f>SUM(AR7:BB7)</f>
        <v>3600</v>
      </c>
      <c r="BP7" s="40">
        <f>BN7+(-1*BO7)</f>
        <v>-3600</v>
      </c>
      <c r="BQ7" s="40">
        <f>AI7+BH7</f>
        <v>322.706608949913004</v>
      </c>
      <c r="BR7" s="5">
        <f>IF(BK7&gt;0,BP7/BK7,0)</f>
        <v>-0.00794754356692504693</v>
      </c>
    </row>
    <row r="8" spans="1:70">
      <c r="A8">
        <f>A7+1</f>
        <v>2029</v>
      </c>
      <c r="B8">
        <f>B5+(4-1)</f>
        <v>33</v>
      </c>
      <c r="C8" s="10">
        <f aca="1">IF(A8&lt;Param.FireStartjahr,0,Param.EntnahmeBetragStart*(1+Param.Inflationsrate)^(A8-Param.Startjahr))</f>
        <v>0</v>
      </c>
      <c r="D8" s="40">
        <f aca="1">IF(OR($A8&lt;Param.SonstigRegelmJahrBeginn1,$A8&gt;Param.SonstigRegelmJahrEnd1),0,Param.SonstigRegelmBetragJaehrl1*(1+Param.SonstigRegelmSteig1)^(A8-Param.SonstigRegelmJahrBeginn1))</f>
        <v>0</v>
      </c>
      <c r="E8" s="40">
        <f aca="1">IF(OR($A8&lt;Param.SonstigRegelmJahrBeginn2,$A8&gt;Param.SonstigRegelmJahrEnd2),0,Param.SonstigRegelmBetragJaehrl2*(1+Param.SonstigRegelmSteig2)^($A8-Param.SonstigRegelmJahrBeginn2))</f>
        <v>0</v>
      </c>
      <c r="F8" s="40">
        <f aca="1">IF(OR($A8&lt;Param.SonstigRegelmJahrBeginn3,$A8&gt;Param.SonstigRegelmJahrEnd3),0,Param.SonstigRegelmBetragJaehrl3*(1+Param.SonstigRegelmSteig3)^($A8-Param.SonstigRegelmJahrBeginn3))</f>
        <v>3636</v>
      </c>
      <c r="G8" s="40">
        <f aca="1">IF(OR($A8&lt;Param.SonstigRegelmJahrBeginn4,$A8&gt;Param.SonstigRegelmJahrEnd4),0,Param.SonstigRegelmBetragJaehrl4*(1+Param.SonstigRegelmSteig4)^($A8-Param.SonstigRegelmJahrBeginn4))</f>
        <v>0</v>
      </c>
      <c r="H8" s="40">
        <f aca="1">IF(OR($A8&lt;Param.SonstigRegelmJahrBeginn5,$A8&gt;Param.SonstigRegelmJahrEnd5),0,Param.SonstigRegelmBetragJaehrl5*(1+Param.SonstigRegelmSteig5)^($A8-Param.SonstigRegelmJahrBeginn5))</f>
        <v>0</v>
      </c>
      <c r="I8" s="40">
        <f aca="1">IF(OR($A8&lt;Param.SonstigRegelmJahrBeginn6,$A8&gt;Param.SonstigRegelmJahrEnd6),0,Param.SonstigRegelmBetragJaehrl6*(1+Param.SonstigRegelmSteig6)^($A8-Param.SonstigRegelmJahrBeginn6))</f>
        <v>0</v>
      </c>
      <c r="J8" s="40">
        <f aca="1">IF(OR($A8&lt;Param.SonstigRegelmJahrBeginn7,$A8&gt;Param.SonstigRegelmJahrEnd7),0,Param.SonstigRegelmBetragJaehrl7*(1+Param.SonstigRegelmSteig7)^($A8-Param.SonstigRegelmJahrBeginn7))</f>
        <v>0</v>
      </c>
      <c r="K8" s="40">
        <f aca="1">IF(OR($A8&lt;Param.SonstigRegelmJahrBeginn8,$A8&gt;Param.SonstigRegelmJahrEnd8),0,Param.SonstigRegelmBetragJaehrl8*(1+Param.SonstigRegelmSteig8)^($A8-Param.SonstigRegelmJahrBeginn8))</f>
        <v>0</v>
      </c>
      <c r="L8" s="40">
        <f aca="1">IF(OR($A8&lt;Param.SonstigRegelmJahrBeginn9,$A8&gt;Param.SonstigRegelmJahrEnd9),0,Param.SonstigRegelmBetragJaehrl9*(1+Param.SonstigRegelmSteig9)^($A8-Param.SonstigRegelmJahrBeginn9))</f>
        <v>0</v>
      </c>
      <c r="M8" s="40">
        <f aca="1">IF(OR($A8&lt;Param.SonstigRegelmJahrBeginn10,$A8&gt;Param.SonstigRegelmJahrEnd10),0,Param.SonstigRegelmBetragJaehrl10*(1+Param.SonstigRegelmSteig10)^($A8-Param.SonstigRegelmJahrBeginn10))</f>
        <v>0</v>
      </c>
      <c r="N8" s="10">
        <f>MAX(0,C8-SUM(D8:M8))</f>
        <v>0</v>
      </c>
      <c r="O8" s="10">
        <f>IF(N8&lt;=0,SUM(D8:M8)-C8,0)</f>
        <v>3636</v>
      </c>
      <c r="P8" s="10">
        <f>S8+AP8</f>
        <v>452970.149793448974</v>
      </c>
      <c r="Q8" s="11">
        <f>IF(P8&gt;0,S8/P8,0)</f>
        <v>0.750364491035481063</v>
      </c>
      <c r="R8" s="11">
        <f>IF(P8&gt;0,AP8/P8,0)</f>
        <v>0.249635508964518893</v>
      </c>
      <c r="S8" s="10">
        <f>AL7</f>
        <v>339892.715904026991</v>
      </c>
      <c r="T8" s="40">
        <f>AM7</f>
        <v>144392.715904026991</v>
      </c>
      <c r="U8" s="40">
        <f aca="1">IF(A8&lt;Param.FireStartjahr,Param.SparrateDepotMonatl*12*(1+Param.SparrateDynamikJaehrl)^($A8-Param.Startjahr),0)</f>
        <v>6000</v>
      </c>
      <c r="V8" s="40">
        <f aca="1">IF(AND(Param.SonstigEinmaligKonto1="Depot",$A8=Param.SonstigEinmaligJahr1),Param.SonstigEinmaligBetrag1,0)</f>
        <v>0</v>
      </c>
      <c r="W8" s="40">
        <f aca="1">IF(AND(Param.SonstigEinmaligKonto2="Depot",$A8=Param.SonstigEinmaligJahr2),Param.SonstigEinmaligBetrag2,0)</f>
        <v>0</v>
      </c>
      <c r="X8" s="40">
        <f aca="1">IF(AND(Param.SonstigEinmaligKonto3="Depot",$A8=Param.SonstigEinmaligJahr3),Param.SonstigEinmaligBetrag3,0)</f>
        <v>0</v>
      </c>
      <c r="Y8" s="40">
        <f aca="1">IF(AND(Param.SonstigEinmaligKonto4="Depot",$A8=Param.SonstigEinmaligJahr4),Param.SonstigEinmaligBetrag4,0)</f>
        <v>0</v>
      </c>
      <c r="Z8" s="40">
        <f aca="1">IF(AND(Param.SonstigEinmaligKonto5="Depot",$A8=Param.SonstigEinmaligJahr5),Param.SonstigEinmaligBetrag5,0)</f>
        <v>0</v>
      </c>
      <c r="AA8" s="40">
        <f aca="1">IF(AND(Param.SonstigEinmaligKonto6="Depot",$A8=Param.SonstigEinmaligJahr6),Param.SonstigEinmaligBetrag6,0)</f>
        <v>0</v>
      </c>
      <c r="AB8" s="40">
        <f aca="1">IF(AND(Param.SonstigEinmaligKonto7="Depot",$A8=Param.SonstigEinmaligJahr7),Param.SonstigEinmaligBetrag7,0)</f>
        <v>0</v>
      </c>
      <c r="AC8" s="40">
        <f aca="1">IF(AND(Param.SonstigEinmaligKonto8="Depot",$A8=Param.SonstigEinmaligJahr8),Param.SonstigEinmaligBetrag8,0)</f>
        <v>0</v>
      </c>
      <c r="AD8" s="40">
        <f aca="1">IF(AND(Param.SonstigEinmaligKonto9="Depot",$A8=Param.SonstigEinmaligJahr9),Param.SonstigEinmaligBetrag9,0)</f>
        <v>0</v>
      </c>
      <c r="AE8" s="40">
        <f aca="1">IF(AND(Param.SonstigEinmaligKonto10="Depot",$A8=Param.SonstigEinmaligJahr10),Param.SonstigEinmaligBetrag10,0)</f>
        <v>0</v>
      </c>
      <c r="AF8" s="40">
        <f aca="1">Param.SparerPauschbetrag-BF8</f>
        <v>0</v>
      </c>
      <c r="AG8" s="40">
        <f aca="1">IF(AND(A8&gt;=Param.FireStartjahr,S8&gt;0),MIN(N8*Q8,S8),0)</f>
        <v>0</v>
      </c>
      <c r="AH8" s="40">
        <f aca="1">IF(AG8&lt;=0,0,IF(S8&lt;=0,0,AG8/(1-MAX(0,((T8/S8)*(1-Param.Teilfreistellung)-MIN(AF8,AG8)/AG8)*Param.KapSt))))</f>
        <v>0</v>
      </c>
      <c r="AI8" s="40">
        <f>AH8-AG8</f>
        <v>0</v>
      </c>
      <c r="AJ8" s="40">
        <f>T8-AH8*(T8/S8)</f>
        <v>144392.715904026991</v>
      </c>
      <c r="AK8" s="40">
        <f>S8-AH8</f>
        <v>339892.715904026991</v>
      </c>
      <c r="AL8" s="40">
        <f>FV(AO8,12,-(U8/12),-AK8,0)</f>
        <v>366449.543029273744</v>
      </c>
      <c r="AM8" s="40">
        <f>AJ8+AL8-AK8-U8</f>
        <v>164949.543029274006</v>
      </c>
      <c r="AN8" s="5">
        <f>AM8/AL8</f>
        <v>0.450128936348808484</v>
      </c>
      <c r="AO8" s="5">
        <f aca="1">(1+IF(AND(A8&gt;=Param.DepotRenditeSpezBeginn1,A8&lt;=Param.DepotRenditeSpezEnde1),Param.DepotRenditeSpezProz1,IF(AND(A8&gt;=Param.DepotRenditeSpezBeginn2,A8&lt;=Param.DepotRenditeSpezEnde2),Param.DepotRenditeSpezProz2,IF(AND(A8&gt;=Param.DepotRenditeSpezBeginn3,A8&lt;=Param.DepotRenditeSpezEnde3),Param.DepotRenditeSpezProz3,IF(AND(A8&gt;=Param.DepotRenditeSpezBeginn4,A8&lt;=Param.DepotRenditeSpezEnde4),Param.DepotRenditeSpezProz4,IF(AND(A8&gt;=Param.DepotRenditeSpezBeginn5,A8&lt;=Param.DepotRenditeSpezEnde5),Param.DepotRenditeSpezProz5,Param.DepotRenditeDefault))))))^(1/12)-1</f>
        <v>0.00486755056533993979</v>
      </c>
      <c r="AP8" s="40">
        <f>BJ7</f>
        <v>113077.433889421838</v>
      </c>
      <c r="AQ8" s="40">
        <f aca="1">IF(A8&lt;Param.FireStartjahr,Param.SparrateFestgeldMonatl*12*(1+Param.SparrateDynamikJaehrl)^($A8-Param.Startjahr),0)</f>
        <v>1800</v>
      </c>
      <c r="AR8" s="40">
        <f>O8</f>
        <v>3636</v>
      </c>
      <c r="AS8" s="40">
        <f aca="1">IF(AND(Param.SonstigEinmaligKonto1="Festgeld",$A8=Param.SonstigEinmaligJahr1),Param.SonstigEinmaligBetrag1,0)</f>
        <v>0</v>
      </c>
      <c r="AT8" s="40">
        <f aca="1">IF(AND(Param.SonstigEinmaligKonto2="Festgeld",$A8=Param.SonstigEinmaligJahr2),Param.SonstigEinmaligBetrag2,0)</f>
        <v>0</v>
      </c>
      <c r="AU8" s="40">
        <f aca="1">IF(AND(Param.SonstigEinmaligKonto3="Festgeld",$A8=Param.SonstigEinmaligJahr3),Param.SonstigEinmaligBetrag3,0)</f>
        <v>0</v>
      </c>
      <c r="AV8" s="40">
        <f aca="1">IF(AND(Param.SonstigEinmaligKonto4="Festgeld",$A8=Param.SonstigEinmaligJahr4),Param.SonstigEinmaligBetrag4,0)</f>
        <v>0</v>
      </c>
      <c r="AW8" s="40">
        <f aca="1">IF(AND(Param.SonstigEinmaligKonto5="Festgeld",$A8=Param.SonstigEinmaligJahr5),Param.SonstigEinmaligBetrag5,0)</f>
        <v>0</v>
      </c>
      <c r="AX8" s="40">
        <f aca="1">IF(AND(Param.SonstigEinmaligKonto6="Festgeld",$A8=Param.SonstigEinmaligJahr6),Param.SonstigEinmaligBetrag6,0)</f>
        <v>0</v>
      </c>
      <c r="AY8" s="40">
        <f aca="1">IF(AND(Param.SonstigEinmaligKonto7="Festgeld",$A8=Param.SonstigEinmaligJahr7),Param.SonstigEinmaligBetrag7,0)</f>
        <v>0</v>
      </c>
      <c r="AZ8" s="40">
        <f aca="1">IF(AND(Param.SonstigEinmaligKonto8="Festgeld",$A8=Param.SonstigEinmaligJahr8),Param.SonstigEinmaligBetrag8,0)</f>
        <v>0</v>
      </c>
      <c r="BA8" s="40">
        <f aca="1">IF(AND(Param.SonstigEinmaligKonto9="Festgeld",$A8=Param.SonstigEinmaligJahr9),Param.SonstigEinmaligBetrag9,0)</f>
        <v>0</v>
      </c>
      <c r="BB8" s="40">
        <f aca="1">IF(AND(Param.SonstigEinmaligKonto10="Festgeld",$A8=Param.SonstigEinmaligJahr10),Param.SonstigEinmaligBetrag10,0)</f>
        <v>0</v>
      </c>
      <c r="BC8" s="40">
        <f aca="1">IF(AND(A8&gt;=Param.FireStartjahr,AP8&gt;0),MIN(N8*R8,AP8),0)</f>
        <v>0</v>
      </c>
      <c r="BD8" s="5">
        <f aca="1">Param.FestgeldZinssatz</f>
        <v>0.02</v>
      </c>
      <c r="BE8" s="40">
        <f>(AP8+SUM(AQ8:BB8)-BC8)*BD8</f>
        <v>2370.26867778844007</v>
      </c>
      <c r="BF8" s="40">
        <f aca="1">IF(BE8&gt;Param.SparerPauschbetrag,Param.SparerPauschbetrag,BE8)</f>
        <v>1000</v>
      </c>
      <c r="BG8" s="40">
        <f>BE8-BF8</f>
        <v>1370.26867778844007</v>
      </c>
      <c r="BH8" s="40">
        <f aca="1">BG8*Param.KapSt</f>
        <v>361.408363766701029</v>
      </c>
      <c r="BI8" s="40">
        <f>BE8-BH8</f>
        <v>2008.86031402173921</v>
      </c>
      <c r="BJ8" s="63">
        <f>AP8+SUM(AQ8:BB8)-BC8+BI8</f>
        <v>120522.294203443744</v>
      </c>
      <c r="BK8" s="40">
        <f>AL8+BJ8</f>
        <v>486971.837232718011</v>
      </c>
      <c r="BL8" s="40">
        <f aca="1">BK8/(1+Param.Inflationsrate)^(A8-Param.Startjahr)</f>
        <v>452201.761188809643</v>
      </c>
      <c r="BM8" s="52" t="str">
        <f>IF(BK8&lt;N8,A8,"")</f>
        <v/>
      </c>
      <c r="BN8" s="40">
        <f>AH8+BC8</f>
        <v>0</v>
      </c>
      <c r="BO8" s="40">
        <f>SUM(AR8:BB8)</f>
        <v>3636</v>
      </c>
      <c r="BP8" s="40">
        <f>BN8+(-1*BO8)</f>
        <v>-3636</v>
      </c>
      <c r="BQ8" s="40">
        <f>AI8+BH8</f>
        <v>361.408363766700973</v>
      </c>
      <c r="BR8" s="5">
        <f>IF(BK8&gt;0,BP8/BK8,0)</f>
        <v>-0.00746655088035901926</v>
      </c>
    </row>
    <row r="9" spans="1:70">
      <c r="A9">
        <f>A8+1</f>
        <v>2030</v>
      </c>
      <c r="B9">
        <f>B5+(5-1)</f>
        <v>34</v>
      </c>
      <c r="C9" s="10">
        <f aca="1">IF(A9&lt;Param.FireStartjahr,0,Param.EntnahmeBetragStart*(1+Param.Inflationsrate)^(A9-Param.Startjahr))</f>
        <v>0</v>
      </c>
      <c r="D9" s="40">
        <f aca="1">IF(OR($A9&lt;Param.SonstigRegelmJahrBeginn1,$A9&gt;Param.SonstigRegelmJahrEnd1),0,Param.SonstigRegelmBetragJaehrl1*(1+Param.SonstigRegelmSteig1)^(A9-Param.SonstigRegelmJahrBeginn1))</f>
        <v>0</v>
      </c>
      <c r="E9" s="40">
        <f aca="1">IF(OR($A9&lt;Param.SonstigRegelmJahrBeginn2,$A9&gt;Param.SonstigRegelmJahrEnd2),0,Param.SonstigRegelmBetragJaehrl2*(1+Param.SonstigRegelmSteig2)^($A9-Param.SonstigRegelmJahrBeginn2))</f>
        <v>0</v>
      </c>
      <c r="F9" s="40">
        <f aca="1">IF(OR($A9&lt;Param.SonstigRegelmJahrBeginn3,$A9&gt;Param.SonstigRegelmJahrEnd3),0,Param.SonstigRegelmBetragJaehrl3*(1+Param.SonstigRegelmSteig3)^($A9-Param.SonstigRegelmJahrBeginn3))</f>
        <v>3672.36000000000013</v>
      </c>
      <c r="G9" s="40">
        <f aca="1">IF(OR($A9&lt;Param.SonstigRegelmJahrBeginn4,$A9&gt;Param.SonstigRegelmJahrEnd4),0,Param.SonstigRegelmBetragJaehrl4*(1+Param.SonstigRegelmSteig4)^($A9-Param.SonstigRegelmJahrBeginn4))</f>
        <v>0</v>
      </c>
      <c r="H9" s="40">
        <f aca="1">IF(OR($A9&lt;Param.SonstigRegelmJahrBeginn5,$A9&gt;Param.SonstigRegelmJahrEnd5),0,Param.SonstigRegelmBetragJaehrl5*(1+Param.SonstigRegelmSteig5)^($A9-Param.SonstigRegelmJahrBeginn5))</f>
        <v>0</v>
      </c>
      <c r="I9" s="40">
        <f aca="1">IF(OR($A9&lt;Param.SonstigRegelmJahrBeginn6,$A9&gt;Param.SonstigRegelmJahrEnd6),0,Param.SonstigRegelmBetragJaehrl6*(1+Param.SonstigRegelmSteig6)^($A9-Param.SonstigRegelmJahrBeginn6))</f>
        <v>0</v>
      </c>
      <c r="J9" s="40">
        <f aca="1">IF(OR($A9&lt;Param.SonstigRegelmJahrBeginn7,$A9&gt;Param.SonstigRegelmJahrEnd7),0,Param.SonstigRegelmBetragJaehrl7*(1+Param.SonstigRegelmSteig7)^($A9-Param.SonstigRegelmJahrBeginn7))</f>
        <v>0</v>
      </c>
      <c r="K9" s="40">
        <f aca="1">IF(OR($A9&lt;Param.SonstigRegelmJahrBeginn8,$A9&gt;Param.SonstigRegelmJahrEnd8),0,Param.SonstigRegelmBetragJaehrl8*(1+Param.SonstigRegelmSteig8)^($A9-Param.SonstigRegelmJahrBeginn8))</f>
        <v>0</v>
      </c>
      <c r="L9" s="40">
        <f aca="1">IF(OR($A9&lt;Param.SonstigRegelmJahrBeginn9,$A9&gt;Param.SonstigRegelmJahrEnd9),0,Param.SonstigRegelmBetragJaehrl9*(1+Param.SonstigRegelmSteig9)^($A9-Param.SonstigRegelmJahrBeginn9))</f>
        <v>0</v>
      </c>
      <c r="M9" s="40">
        <f aca="1">IF(OR($A9&lt;Param.SonstigRegelmJahrBeginn10,$A9&gt;Param.SonstigRegelmJahrEnd10),0,Param.SonstigRegelmBetragJaehrl10*(1+Param.SonstigRegelmSteig10)^($A9-Param.SonstigRegelmJahrBeginn10))</f>
        <v>0</v>
      </c>
      <c r="N9" s="10">
        <f>MAX(0,C9-SUM(D9:M9))</f>
        <v>0</v>
      </c>
      <c r="O9" s="10">
        <f>IF(N9&lt;=0,SUM(D9:M9)-C9,0)</f>
        <v>3672.36000000000013</v>
      </c>
      <c r="P9" s="10">
        <f>S9+AP9</f>
        <v>486971.837232718011</v>
      </c>
      <c r="Q9" s="11">
        <f>IF(P9&gt;0,S9/P9,0)</f>
        <v>0.752506644145320713</v>
      </c>
      <c r="R9" s="11">
        <f>IF(P9&gt;0,AP9/P9,0)</f>
        <v>0.247493355854679198</v>
      </c>
      <c r="S9" s="10">
        <f>AL8</f>
        <v>366449.543029273744</v>
      </c>
      <c r="T9" s="40">
        <f>AM8</f>
        <v>164949.543029274006</v>
      </c>
      <c r="U9" s="40">
        <f aca="1">IF(A9&lt;Param.FireStartjahr,Param.SparrateDepotMonatl*12*(1+Param.SparrateDynamikJaehrl)^($A9-Param.Startjahr),0)</f>
        <v>6000</v>
      </c>
      <c r="V9" s="40">
        <f aca="1">IF(AND(Param.SonstigEinmaligKonto1="Depot",$A9=Param.SonstigEinmaligJahr1),Param.SonstigEinmaligBetrag1,0)</f>
        <v>0</v>
      </c>
      <c r="W9" s="40">
        <f aca="1">IF(AND(Param.SonstigEinmaligKonto2="Depot",$A9=Param.SonstigEinmaligJahr2),Param.SonstigEinmaligBetrag2,0)</f>
        <v>0</v>
      </c>
      <c r="X9" s="40">
        <f aca="1">IF(AND(Param.SonstigEinmaligKonto3="Depot",$A9=Param.SonstigEinmaligJahr3),Param.SonstigEinmaligBetrag3,0)</f>
        <v>0</v>
      </c>
      <c r="Y9" s="40">
        <f aca="1">IF(AND(Param.SonstigEinmaligKonto4="Depot",$A9=Param.SonstigEinmaligJahr4),Param.SonstigEinmaligBetrag4,0)</f>
        <v>0</v>
      </c>
      <c r="Z9" s="40">
        <f aca="1">IF(AND(Param.SonstigEinmaligKonto5="Depot",$A9=Param.SonstigEinmaligJahr5),Param.SonstigEinmaligBetrag5,0)</f>
        <v>0</v>
      </c>
      <c r="AA9" s="40">
        <f aca="1">IF(AND(Param.SonstigEinmaligKonto6="Depot",$A9=Param.SonstigEinmaligJahr6),Param.SonstigEinmaligBetrag6,0)</f>
        <v>0</v>
      </c>
      <c r="AB9" s="40">
        <f aca="1">IF(AND(Param.SonstigEinmaligKonto7="Depot",$A9=Param.SonstigEinmaligJahr7),Param.SonstigEinmaligBetrag7,0)</f>
        <v>0</v>
      </c>
      <c r="AC9" s="40">
        <f aca="1">IF(AND(Param.SonstigEinmaligKonto8="Depot",$A9=Param.SonstigEinmaligJahr8),Param.SonstigEinmaligBetrag8,0)</f>
        <v>0</v>
      </c>
      <c r="AD9" s="40">
        <f aca="1">IF(AND(Param.SonstigEinmaligKonto9="Depot",$A9=Param.SonstigEinmaligJahr9),Param.SonstigEinmaligBetrag9,0)</f>
        <v>0</v>
      </c>
      <c r="AE9" s="40">
        <f aca="1">IF(AND(Param.SonstigEinmaligKonto10="Depot",$A9=Param.SonstigEinmaligJahr10),Param.SonstigEinmaligBetrag10,0)</f>
        <v>0</v>
      </c>
      <c r="AF9" s="40">
        <f aca="1">Param.SparerPauschbetrag-BF9</f>
        <v>0</v>
      </c>
      <c r="AG9" s="40">
        <f aca="1">IF(AND(A9&gt;=Param.FireStartjahr,S9&gt;0),MIN(N9*Q9,S9),0)</f>
        <v>0</v>
      </c>
      <c r="AH9" s="40">
        <f aca="1">IF(AG9&lt;=0,0,IF(S9&lt;=0,0,AG9/(1-MAX(0,((T9/S9)*(1-Param.Teilfreistellung)-MIN(AF9,AG9)/AG9)*Param.KapSt))))</f>
        <v>0</v>
      </c>
      <c r="AI9" s="40">
        <f>AH9-AG9</f>
        <v>0</v>
      </c>
      <c r="AJ9" s="40">
        <f>T9-AH9*(T9/S9)</f>
        <v>164949.543029274006</v>
      </c>
      <c r="AK9" s="40">
        <f>S9-AH9</f>
        <v>366449.543029273977</v>
      </c>
      <c r="AL9" s="40">
        <f>FV(AO9,12,-(U9/12),-AK9,0)</f>
        <v>387216.745803617348</v>
      </c>
      <c r="AM9" s="40">
        <f>AJ9+AL9-AK9-U9</f>
        <v>179716.745803616999</v>
      </c>
      <c r="AN9" s="5">
        <f>AM9/AL9</f>
        <v>0.464124415463072815</v>
      </c>
      <c r="AO9" s="5">
        <f aca="1">(1+IF(AND(A9&gt;=Param.DepotRenditeSpezBeginn1,A9&lt;=Param.DepotRenditeSpezEnde1),Param.DepotRenditeSpezProz1,IF(AND(A9&gt;=Param.DepotRenditeSpezBeginn2,A9&lt;=Param.DepotRenditeSpezEnde2),Param.DepotRenditeSpezProz2,IF(AND(A9&gt;=Param.DepotRenditeSpezBeginn3,A9&lt;=Param.DepotRenditeSpezEnde3),Param.DepotRenditeSpezProz3,IF(AND(A9&gt;=Param.DepotRenditeSpezBeginn4,A9&lt;=Param.DepotRenditeSpezEnde4),Param.DepotRenditeSpezProz4,IF(AND(A9&gt;=Param.DepotRenditeSpezBeginn5,A9&lt;=Param.DepotRenditeSpezEnde5),Param.DepotRenditeSpezProz5,Param.DepotRenditeDefault))))))^(1/12)-1</f>
        <v>0.00327373978220002471</v>
      </c>
      <c r="AP9" s="40">
        <f>BJ8</f>
        <v>120522.294203443744</v>
      </c>
      <c r="AQ9" s="40">
        <f aca="1">IF(A9&lt;Param.FireStartjahr,Param.SparrateFestgeldMonatl*12*(1+Param.SparrateDynamikJaehrl)^($A9-Param.Startjahr),0)</f>
        <v>1800</v>
      </c>
      <c r="AR9" s="40">
        <f>O9</f>
        <v>3672.36000000000013</v>
      </c>
      <c r="AS9" s="40">
        <f aca="1">IF(AND(Param.SonstigEinmaligKonto1="Festgeld",$A9=Param.SonstigEinmaligJahr1),Param.SonstigEinmaligBetrag1,0)</f>
        <v>0</v>
      </c>
      <c r="AT9" s="40">
        <f aca="1">IF(AND(Param.SonstigEinmaligKonto2="Festgeld",$A9=Param.SonstigEinmaligJahr2),Param.SonstigEinmaligBetrag2,0)</f>
        <v>-25000</v>
      </c>
      <c r="AU9" s="40">
        <f aca="1">IF(AND(Param.SonstigEinmaligKonto3="Festgeld",$A9=Param.SonstigEinmaligJahr3),Param.SonstigEinmaligBetrag3,0)</f>
        <v>0</v>
      </c>
      <c r="AV9" s="40">
        <f aca="1">IF(AND(Param.SonstigEinmaligKonto4="Festgeld",$A9=Param.SonstigEinmaligJahr4),Param.SonstigEinmaligBetrag4,0)</f>
        <v>0</v>
      </c>
      <c r="AW9" s="40">
        <f aca="1">IF(AND(Param.SonstigEinmaligKonto5="Festgeld",$A9=Param.SonstigEinmaligJahr5),Param.SonstigEinmaligBetrag5,0)</f>
        <v>0</v>
      </c>
      <c r="AX9" s="40">
        <f aca="1">IF(AND(Param.SonstigEinmaligKonto6="Festgeld",$A9=Param.SonstigEinmaligJahr6),Param.SonstigEinmaligBetrag6,0)</f>
        <v>0</v>
      </c>
      <c r="AY9" s="40">
        <f aca="1">IF(AND(Param.SonstigEinmaligKonto7="Festgeld",$A9=Param.SonstigEinmaligJahr7),Param.SonstigEinmaligBetrag7,0)</f>
        <v>0</v>
      </c>
      <c r="AZ9" s="40">
        <f aca="1">IF(AND(Param.SonstigEinmaligKonto8="Festgeld",$A9=Param.SonstigEinmaligJahr8),Param.SonstigEinmaligBetrag8,0)</f>
        <v>0</v>
      </c>
      <c r="BA9" s="40">
        <f aca="1">IF(AND(Param.SonstigEinmaligKonto9="Festgeld",$A9=Param.SonstigEinmaligJahr9),Param.SonstigEinmaligBetrag9,0)</f>
        <v>0</v>
      </c>
      <c r="BB9" s="40">
        <f aca="1">IF(AND(Param.SonstigEinmaligKonto10="Festgeld",$A9=Param.SonstigEinmaligJahr10),Param.SonstigEinmaligBetrag10,0)</f>
        <v>0</v>
      </c>
      <c r="BC9" s="40">
        <f aca="1">IF(AND(A9&gt;=Param.FireStartjahr,AP9&gt;0),MIN(N9*R9,AP9),0)</f>
        <v>0</v>
      </c>
      <c r="BD9" s="5">
        <f aca="1">Param.FestgeldZinssatz</f>
        <v>0.02</v>
      </c>
      <c r="BE9" s="40">
        <f>(AP9+SUM(AQ9:BB9)-BC9)*BD9</f>
        <v>2019.89308406888017</v>
      </c>
      <c r="BF9" s="40">
        <f aca="1">IF(BE9&gt;Param.SparerPauschbetrag,Param.SparerPauschbetrag,BE9)</f>
        <v>1000</v>
      </c>
      <c r="BG9" s="40">
        <f>BE9-BF9</f>
        <v>1019.89308406887994</v>
      </c>
      <c r="BH9" s="40">
        <f aca="1">BG9*Param.KapSt</f>
        <v>268.996800923167086</v>
      </c>
      <c r="BI9" s="40">
        <f>BE9-BH9</f>
        <v>1750.89628314571291</v>
      </c>
      <c r="BJ9" s="63">
        <f>AP9+SUM(AQ9:BB9)-BC9+BI9</f>
        <v>102745.550486589709</v>
      </c>
      <c r="BK9" s="40">
        <f>AL9+BJ9</f>
        <v>489962.296290207014</v>
      </c>
      <c r="BL9" s="40">
        <f aca="1">BK9/(1+Param.Inflationsrate)^(A9-Param.Startjahr)</f>
        <v>443881.658251681598</v>
      </c>
      <c r="BM9" s="52" t="str">
        <f>IF(BK9&lt;N9,A9,"")</f>
        <v/>
      </c>
      <c r="BN9" s="40">
        <f>AH9+BC9</f>
        <v>0</v>
      </c>
      <c r="BO9" s="40">
        <f>SUM(AR9:BB9)</f>
        <v>-21327.6399999999994</v>
      </c>
      <c r="BP9" s="40">
        <f>BN9+(-1*BO9)</f>
        <v>21327.6399999999994</v>
      </c>
      <c r="BQ9" s="40">
        <f>AI9+BH9</f>
        <v>268.996800923166973</v>
      </c>
      <c r="BR9" s="5">
        <f>IF(BK9&gt;0,BP9/BK9,0)</f>
        <v>0.0435291453270672424</v>
      </c>
    </row>
    <row r="10" spans="1:70">
      <c r="A10">
        <f>A9+1</f>
        <v>2031</v>
      </c>
      <c r="B10">
        <f>B5+(6-1)</f>
        <v>35</v>
      </c>
      <c r="C10" s="10">
        <f aca="1">IF(A10&lt;Param.FireStartjahr,0,Param.EntnahmeBetragStart*(1+Param.Inflationsrate)^(A10-Param.Startjahr))</f>
        <v>0</v>
      </c>
      <c r="D10" s="40">
        <f aca="1">IF(OR($A10&lt;Param.SonstigRegelmJahrBeginn1,$A10&gt;Param.SonstigRegelmJahrEnd1),0,Param.SonstigRegelmBetragJaehrl1*(1+Param.SonstigRegelmSteig1)^(A10-Param.SonstigRegelmJahrBeginn1))</f>
        <v>0</v>
      </c>
      <c r="E10" s="40">
        <f aca="1">IF(OR($A10&lt;Param.SonstigRegelmJahrBeginn2,$A10&gt;Param.SonstigRegelmJahrEnd2),0,Param.SonstigRegelmBetragJaehrl2*(1+Param.SonstigRegelmSteig2)^($A10-Param.SonstigRegelmJahrBeginn2))</f>
        <v>0</v>
      </c>
      <c r="F10" s="40">
        <f aca="1">IF(OR($A10&lt;Param.SonstigRegelmJahrBeginn3,$A10&gt;Param.SonstigRegelmJahrEnd3),0,Param.SonstigRegelmBetragJaehrl3*(1+Param.SonstigRegelmSteig3)^($A10-Param.SonstigRegelmJahrBeginn3))</f>
        <v>3709.08359999999948</v>
      </c>
      <c r="G10" s="40">
        <f aca="1">IF(OR($A10&lt;Param.SonstigRegelmJahrBeginn4,$A10&gt;Param.SonstigRegelmJahrEnd4),0,Param.SonstigRegelmBetragJaehrl4*(1+Param.SonstigRegelmSteig4)^($A10-Param.SonstigRegelmJahrBeginn4))</f>
        <v>0</v>
      </c>
      <c r="H10" s="40">
        <f aca="1">IF(OR($A10&lt;Param.SonstigRegelmJahrBeginn5,$A10&gt;Param.SonstigRegelmJahrEnd5),0,Param.SonstigRegelmBetragJaehrl5*(1+Param.SonstigRegelmSteig5)^($A10-Param.SonstigRegelmJahrBeginn5))</f>
        <v>0</v>
      </c>
      <c r="I10" s="40">
        <f aca="1">IF(OR($A10&lt;Param.SonstigRegelmJahrBeginn6,$A10&gt;Param.SonstigRegelmJahrEnd6),0,Param.SonstigRegelmBetragJaehrl6*(1+Param.SonstigRegelmSteig6)^($A10-Param.SonstigRegelmJahrBeginn6))</f>
        <v>0</v>
      </c>
      <c r="J10" s="40">
        <f aca="1">IF(OR($A10&lt;Param.SonstigRegelmJahrBeginn7,$A10&gt;Param.SonstigRegelmJahrEnd7),0,Param.SonstigRegelmBetragJaehrl7*(1+Param.SonstigRegelmSteig7)^($A10-Param.SonstigRegelmJahrBeginn7))</f>
        <v>0</v>
      </c>
      <c r="K10" s="40">
        <f aca="1">IF(OR($A10&lt;Param.SonstigRegelmJahrBeginn8,$A10&gt;Param.SonstigRegelmJahrEnd8),0,Param.SonstigRegelmBetragJaehrl8*(1+Param.SonstigRegelmSteig8)^($A10-Param.SonstigRegelmJahrBeginn8))</f>
        <v>0</v>
      </c>
      <c r="L10" s="40">
        <f aca="1">IF(OR($A10&lt;Param.SonstigRegelmJahrBeginn9,$A10&gt;Param.SonstigRegelmJahrEnd9),0,Param.SonstigRegelmBetragJaehrl9*(1+Param.SonstigRegelmSteig9)^($A10-Param.SonstigRegelmJahrBeginn9))</f>
        <v>0</v>
      </c>
      <c r="M10" s="40">
        <f aca="1">IF(OR($A10&lt;Param.SonstigRegelmJahrBeginn10,$A10&gt;Param.SonstigRegelmJahrEnd10),0,Param.SonstigRegelmBetragJaehrl10*(1+Param.SonstigRegelmSteig10)^($A10-Param.SonstigRegelmJahrBeginn10))</f>
        <v>0</v>
      </c>
      <c r="N10" s="10">
        <f>MAX(0,C10-SUM(D10:M10))</f>
        <v>0</v>
      </c>
      <c r="O10" s="10">
        <f>IF(N10&lt;=0,SUM(D10:M10)-C10,0)</f>
        <v>3709.08359999999993</v>
      </c>
      <c r="P10" s="10">
        <f>S10+AP10</f>
        <v>489962.296290207014</v>
      </c>
      <c r="Q10" s="11">
        <f>IF(P10&gt;0,S10/P10,0)</f>
        <v>0.790299067367964714</v>
      </c>
      <c r="R10" s="11">
        <f>IF(P10&gt;0,AP10/P10,0)</f>
        <v>0.209700932632035286</v>
      </c>
      <c r="S10" s="10">
        <f>AL9</f>
        <v>387216.745803617348</v>
      </c>
      <c r="T10" s="40">
        <f>AM9</f>
        <v>179716.745803616999</v>
      </c>
      <c r="U10" s="40">
        <f aca="1">IF(A10&lt;Param.FireStartjahr,Param.SparrateDepotMonatl*12*(1+Param.SparrateDynamikJaehrl)^($A10-Param.Startjahr),0)</f>
        <v>6000</v>
      </c>
      <c r="V10" s="40">
        <f aca="1">IF(AND(Param.SonstigEinmaligKonto1="Depot",$A10=Param.SonstigEinmaligJahr1),Param.SonstigEinmaligBetrag1,0)</f>
        <v>0</v>
      </c>
      <c r="W10" s="40">
        <f aca="1">IF(AND(Param.SonstigEinmaligKonto2="Depot",$A10=Param.SonstigEinmaligJahr2),Param.SonstigEinmaligBetrag2,0)</f>
        <v>0</v>
      </c>
      <c r="X10" s="40">
        <f aca="1">IF(AND(Param.SonstigEinmaligKonto3="Depot",$A10=Param.SonstigEinmaligJahr3),Param.SonstigEinmaligBetrag3,0)</f>
        <v>0</v>
      </c>
      <c r="Y10" s="40">
        <f aca="1">IF(AND(Param.SonstigEinmaligKonto4="Depot",$A10=Param.SonstigEinmaligJahr4),Param.SonstigEinmaligBetrag4,0)</f>
        <v>0</v>
      </c>
      <c r="Z10" s="40">
        <f aca="1">IF(AND(Param.SonstigEinmaligKonto5="Depot",$A10=Param.SonstigEinmaligJahr5),Param.SonstigEinmaligBetrag5,0)</f>
        <v>0</v>
      </c>
      <c r="AA10" s="40">
        <f aca="1">IF(AND(Param.SonstigEinmaligKonto6="Depot",$A10=Param.SonstigEinmaligJahr6),Param.SonstigEinmaligBetrag6,0)</f>
        <v>0</v>
      </c>
      <c r="AB10" s="40">
        <f aca="1">IF(AND(Param.SonstigEinmaligKonto7="Depot",$A10=Param.SonstigEinmaligJahr7),Param.SonstigEinmaligBetrag7,0)</f>
        <v>0</v>
      </c>
      <c r="AC10" s="40">
        <f aca="1">IF(AND(Param.SonstigEinmaligKonto8="Depot",$A10=Param.SonstigEinmaligJahr8),Param.SonstigEinmaligBetrag8,0)</f>
        <v>0</v>
      </c>
      <c r="AD10" s="40">
        <f aca="1">IF(AND(Param.SonstigEinmaligKonto9="Depot",$A10=Param.SonstigEinmaligJahr9),Param.SonstigEinmaligBetrag9,0)</f>
        <v>0</v>
      </c>
      <c r="AE10" s="40">
        <f aca="1">IF(AND(Param.SonstigEinmaligKonto10="Depot",$A10=Param.SonstigEinmaligJahr10),Param.SonstigEinmaligBetrag10,0)</f>
        <v>0</v>
      </c>
      <c r="AF10" s="40">
        <f aca="1">Param.SparerPauschbetrag-BF10</f>
        <v>0</v>
      </c>
      <c r="AG10" s="40">
        <f aca="1">IF(AND(A10&gt;=Param.FireStartjahr,S10&gt;0),MIN(N10*Q10,S10),0)</f>
        <v>0</v>
      </c>
      <c r="AH10" s="40">
        <f aca="1">IF(AG10&lt;=0,0,IF(S10&lt;=0,0,AG10/(1-MAX(0,((T10/S10)*(1-Param.Teilfreistellung)-MIN(AF10,AG10)/AG10)*Param.KapSt))))</f>
        <v>0</v>
      </c>
      <c r="AI10" s="40">
        <f>AH10-AG10</f>
        <v>0</v>
      </c>
      <c r="AJ10" s="40">
        <f>T10-AH10*(T10/S10)</f>
        <v>179716.745803616999</v>
      </c>
      <c r="AK10" s="40">
        <f>S10-AH10</f>
        <v>387216.745803616999</v>
      </c>
      <c r="AL10" s="40">
        <f>FV(AO10,12,-(U10/12),-AK10,0)</f>
        <v>408814.636688934406</v>
      </c>
      <c r="AM10" s="40">
        <f>AJ10+AL10-AK10-U10</f>
        <v>195314.636688933999</v>
      </c>
      <c r="AN10" s="5">
        <f>AM10/AL10</f>
        <v>0.477758424382315816</v>
      </c>
      <c r="AO10" s="5">
        <f aca="1">(1+IF(AND(A10&gt;=Param.DepotRenditeSpezBeginn1,A10&lt;=Param.DepotRenditeSpezEnde1),Param.DepotRenditeSpezProz1,IF(AND(A10&gt;=Param.DepotRenditeSpezBeginn2,A10&lt;=Param.DepotRenditeSpezEnde2),Param.DepotRenditeSpezProz2,IF(AND(A10&gt;=Param.DepotRenditeSpezBeginn3,A10&lt;=Param.DepotRenditeSpezEnde3),Param.DepotRenditeSpezProz3,IF(AND(A10&gt;=Param.DepotRenditeSpezBeginn4,A10&lt;=Param.DepotRenditeSpezEnde4),Param.DepotRenditeSpezProz4,IF(AND(A10&gt;=Param.DepotRenditeSpezBeginn5,A10&lt;=Param.DepotRenditeSpezEnde5),Param.DepotRenditeSpezProz5,Param.DepotRenditeDefault))))))^(1/12)-1</f>
        <v>0.00327373978220002471</v>
      </c>
      <c r="AP10" s="40">
        <f>BJ9</f>
        <v>102745.550486589709</v>
      </c>
      <c r="AQ10" s="40">
        <f aca="1">IF(A10&lt;Param.FireStartjahr,Param.SparrateFestgeldMonatl*12*(1+Param.SparrateDynamikJaehrl)^($A10-Param.Startjahr),0)</f>
        <v>1800</v>
      </c>
      <c r="AR10" s="40">
        <f>O10</f>
        <v>3709.08359999999993</v>
      </c>
      <c r="AS10" s="40">
        <f aca="1">IF(AND(Param.SonstigEinmaligKonto1="Festgeld",$A10=Param.SonstigEinmaligJahr1),Param.SonstigEinmaligBetrag1,0)</f>
        <v>0</v>
      </c>
      <c r="AT10" s="40">
        <f aca="1">IF(AND(Param.SonstigEinmaligKonto2="Festgeld",$A10=Param.SonstigEinmaligJahr2),Param.SonstigEinmaligBetrag2,0)</f>
        <v>0</v>
      </c>
      <c r="AU10" s="40">
        <f aca="1">IF(AND(Param.SonstigEinmaligKonto3="Festgeld",$A10=Param.SonstigEinmaligJahr3),Param.SonstigEinmaligBetrag3,0)</f>
        <v>0</v>
      </c>
      <c r="AV10" s="40">
        <f aca="1">IF(AND(Param.SonstigEinmaligKonto4="Festgeld",$A10=Param.SonstigEinmaligJahr4),Param.SonstigEinmaligBetrag4,0)</f>
        <v>0</v>
      </c>
      <c r="AW10" s="40">
        <f aca="1">IF(AND(Param.SonstigEinmaligKonto5="Festgeld",$A10=Param.SonstigEinmaligJahr5),Param.SonstigEinmaligBetrag5,0)</f>
        <v>0</v>
      </c>
      <c r="AX10" s="40">
        <f aca="1">IF(AND(Param.SonstigEinmaligKonto6="Festgeld",$A10=Param.SonstigEinmaligJahr6),Param.SonstigEinmaligBetrag6,0)</f>
        <v>0</v>
      </c>
      <c r="AY10" s="40">
        <f aca="1">IF(AND(Param.SonstigEinmaligKonto7="Festgeld",$A10=Param.SonstigEinmaligJahr7),Param.SonstigEinmaligBetrag7,0)</f>
        <v>0</v>
      </c>
      <c r="AZ10" s="40">
        <f aca="1">IF(AND(Param.SonstigEinmaligKonto8="Festgeld",$A10=Param.SonstigEinmaligJahr8),Param.SonstigEinmaligBetrag8,0)</f>
        <v>0</v>
      </c>
      <c r="BA10" s="40">
        <f aca="1">IF(AND(Param.SonstigEinmaligKonto9="Festgeld",$A10=Param.SonstigEinmaligJahr9),Param.SonstigEinmaligBetrag9,0)</f>
        <v>0</v>
      </c>
      <c r="BB10" s="40">
        <f aca="1">IF(AND(Param.SonstigEinmaligKonto10="Festgeld",$A10=Param.SonstigEinmaligJahr10),Param.SonstigEinmaligBetrag10,0)</f>
        <v>0</v>
      </c>
      <c r="BC10" s="40">
        <f aca="1">IF(AND(A10&gt;=Param.FireStartjahr,AP10&gt;0),MIN(N10*R10,AP10),0)</f>
        <v>0</v>
      </c>
      <c r="BD10" s="5">
        <f aca="1">Param.FestgeldZinssatz</f>
        <v>0.02</v>
      </c>
      <c r="BE10" s="40">
        <f>(AP10+SUM(AQ10:BB10)-BC10)*BD10</f>
        <v>2165.09268173179998</v>
      </c>
      <c r="BF10" s="40">
        <f aca="1">IF(BE10&gt;Param.SparerPauschbetrag,Param.SparerPauschbetrag,BE10)</f>
        <v>1000</v>
      </c>
      <c r="BG10" s="40">
        <f>BE10-BF10</f>
        <v>1165.09268173179998</v>
      </c>
      <c r="BH10" s="40">
        <f aca="1">BG10*Param.KapSt</f>
        <v>307.293194806762244</v>
      </c>
      <c r="BI10" s="40">
        <f>BE10-BH10</f>
        <v>1857.79948692503785</v>
      </c>
      <c r="BJ10" s="63">
        <f>AP10+SUM(AQ10:BB10)-BC10+BI10</f>
        <v>110112.433573515038</v>
      </c>
      <c r="BK10" s="40">
        <f>AL10+BJ10</f>
        <v>518927.070262448979</v>
      </c>
      <c r="BL10" s="40">
        <f aca="1">BK10/(1+Param.Inflationsrate)^(A10-Param.Startjahr)</f>
        <v>458655.916008112603</v>
      </c>
      <c r="BM10" s="52" t="str">
        <f>IF(BK10&lt;N10,A10,"")</f>
        <v/>
      </c>
      <c r="BN10" s="40">
        <f>AH10+BC10</f>
        <v>0</v>
      </c>
      <c r="BO10" s="40">
        <f>SUM(AR10:BB10)</f>
        <v>3709.08359999999993</v>
      </c>
      <c r="BP10" s="40">
        <f>BN10+(-1*BO10)</f>
        <v>-3709.08359999999993</v>
      </c>
      <c r="BQ10" s="40">
        <f>AI10+BH10</f>
        <v>307.293194806762017</v>
      </c>
      <c r="BR10" s="5">
        <f>IF(BK10&gt;0,BP10/BK10,0)</f>
        <v>-0.00714760091071009285</v>
      </c>
    </row>
    <row r="11" spans="1:70">
      <c r="A11">
        <f>A10+1</f>
        <v>2032</v>
      </c>
      <c r="B11">
        <f>B5+(7-1)</f>
        <v>36</v>
      </c>
      <c r="C11" s="10">
        <f aca="1">IF(A11&lt;Param.FireStartjahr,0,Param.EntnahmeBetragStart*(1+Param.Inflationsrate)^(A11-Param.Startjahr))</f>
        <v>0</v>
      </c>
      <c r="D11" s="40">
        <f aca="1">IF(OR($A11&lt;Param.SonstigRegelmJahrBeginn1,$A11&gt;Param.SonstigRegelmJahrEnd1),0,Param.SonstigRegelmBetragJaehrl1*(1+Param.SonstigRegelmSteig1)^(A11-Param.SonstigRegelmJahrBeginn1))</f>
        <v>0</v>
      </c>
      <c r="E11" s="40">
        <f aca="1">IF(OR($A11&lt;Param.SonstigRegelmJahrBeginn2,$A11&gt;Param.SonstigRegelmJahrEnd2),0,Param.SonstigRegelmBetragJaehrl2*(1+Param.SonstigRegelmSteig2)^($A11-Param.SonstigRegelmJahrBeginn2))</f>
        <v>0</v>
      </c>
      <c r="F11" s="40">
        <f aca="1">IF(OR($A11&lt;Param.SonstigRegelmJahrBeginn3,$A11&gt;Param.SonstigRegelmJahrEnd3),0,Param.SonstigRegelmBetragJaehrl3*(1+Param.SonstigRegelmSteig3)^($A11-Param.SonstigRegelmJahrBeginn3))</f>
        <v>3746.17443600000024</v>
      </c>
      <c r="G11" s="40">
        <f aca="1">IF(OR($A11&lt;Param.SonstigRegelmJahrBeginn4,$A11&gt;Param.SonstigRegelmJahrEnd4),0,Param.SonstigRegelmBetragJaehrl4*(1+Param.SonstigRegelmSteig4)^($A11-Param.SonstigRegelmJahrBeginn4))</f>
        <v>0</v>
      </c>
      <c r="H11" s="40">
        <f aca="1">IF(OR($A11&lt;Param.SonstigRegelmJahrBeginn5,$A11&gt;Param.SonstigRegelmJahrEnd5),0,Param.SonstigRegelmBetragJaehrl5*(1+Param.SonstigRegelmSteig5)^($A11-Param.SonstigRegelmJahrBeginn5))</f>
        <v>0</v>
      </c>
      <c r="I11" s="40">
        <f aca="1">IF(OR($A11&lt;Param.SonstigRegelmJahrBeginn6,$A11&gt;Param.SonstigRegelmJahrEnd6),0,Param.SonstigRegelmBetragJaehrl6*(1+Param.SonstigRegelmSteig6)^($A11-Param.SonstigRegelmJahrBeginn6))</f>
        <v>0</v>
      </c>
      <c r="J11" s="40">
        <f aca="1">IF(OR($A11&lt;Param.SonstigRegelmJahrBeginn7,$A11&gt;Param.SonstigRegelmJahrEnd7),0,Param.SonstigRegelmBetragJaehrl7*(1+Param.SonstigRegelmSteig7)^($A11-Param.SonstigRegelmJahrBeginn7))</f>
        <v>0</v>
      </c>
      <c r="K11" s="40">
        <f aca="1">IF(OR($A11&lt;Param.SonstigRegelmJahrBeginn8,$A11&gt;Param.SonstigRegelmJahrEnd8),0,Param.SonstigRegelmBetragJaehrl8*(1+Param.SonstigRegelmSteig8)^($A11-Param.SonstigRegelmJahrBeginn8))</f>
        <v>0</v>
      </c>
      <c r="L11" s="40">
        <f aca="1">IF(OR($A11&lt;Param.SonstigRegelmJahrBeginn9,$A11&gt;Param.SonstigRegelmJahrEnd9),0,Param.SonstigRegelmBetragJaehrl9*(1+Param.SonstigRegelmSteig9)^($A11-Param.SonstigRegelmJahrBeginn9))</f>
        <v>0</v>
      </c>
      <c r="M11" s="40">
        <f aca="1">IF(OR($A11&lt;Param.SonstigRegelmJahrBeginn10,$A11&gt;Param.SonstigRegelmJahrEnd10),0,Param.SonstigRegelmBetragJaehrl10*(1+Param.SonstigRegelmSteig10)^($A11-Param.SonstigRegelmJahrBeginn10))</f>
        <v>0</v>
      </c>
      <c r="N11" s="10">
        <f>MAX(0,C11-SUM(D11:M11))</f>
        <v>0</v>
      </c>
      <c r="O11" s="10">
        <f>IF(N11&lt;=0,SUM(D11:M11)-C11,0)</f>
        <v>3746.17443599999979</v>
      </c>
      <c r="P11" s="10">
        <f>S11+AP11</f>
        <v>518927.070262448979</v>
      </c>
      <c r="Q11" s="11">
        <f>IF(P11&gt;0,S11/P11,0)</f>
        <v>0.787807497655064992</v>
      </c>
      <c r="R11" s="11">
        <f>IF(P11&gt;0,AP11/P11,0)</f>
        <v>0.212192502344935097</v>
      </c>
      <c r="S11" s="10">
        <f>AL10</f>
        <v>408814.636688934406</v>
      </c>
      <c r="T11" s="40">
        <f>AM10</f>
        <v>195314.636688933999</v>
      </c>
      <c r="U11" s="40">
        <f aca="1">IF(A11&lt;Param.FireStartjahr,Param.SparrateDepotMonatl*12*(1+Param.SparrateDynamikJaehrl)^($A11-Param.Startjahr),0)</f>
        <v>6000</v>
      </c>
      <c r="V11" s="40">
        <f aca="1">IF(AND(Param.SonstigEinmaligKonto1="Depot",$A11=Param.SonstigEinmaligJahr1),Param.SonstigEinmaligBetrag1,0)</f>
        <v>0</v>
      </c>
      <c r="W11" s="40">
        <f aca="1">IF(AND(Param.SonstigEinmaligKonto2="Depot",$A11=Param.SonstigEinmaligJahr2),Param.SonstigEinmaligBetrag2,0)</f>
        <v>0</v>
      </c>
      <c r="X11" s="40">
        <f aca="1">IF(AND(Param.SonstigEinmaligKonto3="Depot",$A11=Param.SonstigEinmaligJahr3),Param.SonstigEinmaligBetrag3,0)</f>
        <v>0</v>
      </c>
      <c r="Y11" s="40">
        <f aca="1">IF(AND(Param.SonstigEinmaligKonto4="Depot",$A11=Param.SonstigEinmaligJahr4),Param.SonstigEinmaligBetrag4,0)</f>
        <v>0</v>
      </c>
      <c r="Z11" s="40">
        <f aca="1">IF(AND(Param.SonstigEinmaligKonto5="Depot",$A11=Param.SonstigEinmaligJahr5),Param.SonstigEinmaligBetrag5,0)</f>
        <v>0</v>
      </c>
      <c r="AA11" s="40">
        <f aca="1">IF(AND(Param.SonstigEinmaligKonto6="Depot",$A11=Param.SonstigEinmaligJahr6),Param.SonstigEinmaligBetrag6,0)</f>
        <v>0</v>
      </c>
      <c r="AB11" s="40">
        <f aca="1">IF(AND(Param.SonstigEinmaligKonto7="Depot",$A11=Param.SonstigEinmaligJahr7),Param.SonstigEinmaligBetrag7,0)</f>
        <v>0</v>
      </c>
      <c r="AC11" s="40">
        <f aca="1">IF(AND(Param.SonstigEinmaligKonto8="Depot",$A11=Param.SonstigEinmaligJahr8),Param.SonstigEinmaligBetrag8,0)</f>
        <v>0</v>
      </c>
      <c r="AD11" s="40">
        <f aca="1">IF(AND(Param.SonstigEinmaligKonto9="Depot",$A11=Param.SonstigEinmaligJahr9),Param.SonstigEinmaligBetrag9,0)</f>
        <v>0</v>
      </c>
      <c r="AE11" s="40">
        <f aca="1">IF(AND(Param.SonstigEinmaligKonto10="Depot",$A11=Param.SonstigEinmaligJahr10),Param.SonstigEinmaligBetrag10,0)</f>
        <v>0</v>
      </c>
      <c r="AF11" s="40">
        <f aca="1">Param.SparerPauschbetrag-BF11</f>
        <v>0</v>
      </c>
      <c r="AG11" s="40">
        <f aca="1">IF(AND(A11&gt;=Param.FireStartjahr,S11&gt;0),MIN(N11*Q11,S11),0)</f>
        <v>0</v>
      </c>
      <c r="AH11" s="40">
        <f aca="1">IF(AG11&lt;=0,0,IF(S11&lt;=0,0,AG11/(1-MAX(0,((T11/S11)*(1-Param.Teilfreistellung)-MIN(AF11,AG11)/AG11)*Param.KapSt))))</f>
        <v>0</v>
      </c>
      <c r="AI11" s="40">
        <f>AH11-AG11</f>
        <v>0</v>
      </c>
      <c r="AJ11" s="40">
        <f>T11-AH11*(T11/S11)</f>
        <v>195314.636688933999</v>
      </c>
      <c r="AK11" s="40">
        <f>S11-AH11</f>
        <v>408814.636688933999</v>
      </c>
      <c r="AL11" s="40">
        <f>FV(AO11,12,-(U11/12),-AK11,0)</f>
        <v>431276.44320966443</v>
      </c>
      <c r="AM11" s="40">
        <f>AJ11+AL11-AK11-U11</f>
        <v>211776.443209663994</v>
      </c>
      <c r="AN11" s="5">
        <f>AM11/AL11</f>
        <v>0.491045700603474344</v>
      </c>
      <c r="AO11" s="5">
        <f aca="1">(1+IF(AND(A11&gt;=Param.DepotRenditeSpezBeginn1,A11&lt;=Param.DepotRenditeSpezEnde1),Param.DepotRenditeSpezProz1,IF(AND(A11&gt;=Param.DepotRenditeSpezBeginn2,A11&lt;=Param.DepotRenditeSpezEnde2),Param.DepotRenditeSpezProz2,IF(AND(A11&gt;=Param.DepotRenditeSpezBeginn3,A11&lt;=Param.DepotRenditeSpezEnde3),Param.DepotRenditeSpezProz3,IF(AND(A11&gt;=Param.DepotRenditeSpezBeginn4,A11&lt;=Param.DepotRenditeSpezEnde4),Param.DepotRenditeSpezProz4,IF(AND(A11&gt;=Param.DepotRenditeSpezBeginn5,A11&lt;=Param.DepotRenditeSpezEnde5),Param.DepotRenditeSpezProz5,Param.DepotRenditeDefault))))))^(1/12)-1</f>
        <v>0.00327373978220002471</v>
      </c>
      <c r="AP11" s="40">
        <f>BJ10</f>
        <v>110112.433573515038</v>
      </c>
      <c r="AQ11" s="40">
        <f aca="1">IF(A11&lt;Param.FireStartjahr,Param.SparrateFestgeldMonatl*12*(1+Param.SparrateDynamikJaehrl)^($A11-Param.Startjahr),0)</f>
        <v>1800</v>
      </c>
      <c r="AR11" s="40">
        <f>O11</f>
        <v>3746.17443599999979</v>
      </c>
      <c r="AS11" s="40">
        <f aca="1">IF(AND(Param.SonstigEinmaligKonto1="Festgeld",$A11=Param.SonstigEinmaligJahr1),Param.SonstigEinmaligBetrag1,0)</f>
        <v>0</v>
      </c>
      <c r="AT11" s="40">
        <f aca="1">IF(AND(Param.SonstigEinmaligKonto2="Festgeld",$A11=Param.SonstigEinmaligJahr2),Param.SonstigEinmaligBetrag2,0)</f>
        <v>0</v>
      </c>
      <c r="AU11" s="40">
        <f aca="1">IF(AND(Param.SonstigEinmaligKonto3="Festgeld",$A11=Param.SonstigEinmaligJahr3),Param.SonstigEinmaligBetrag3,0)</f>
        <v>0</v>
      </c>
      <c r="AV11" s="40">
        <f aca="1">IF(AND(Param.SonstigEinmaligKonto4="Festgeld",$A11=Param.SonstigEinmaligJahr4),Param.SonstigEinmaligBetrag4,0)</f>
        <v>0</v>
      </c>
      <c r="AW11" s="40">
        <f aca="1">IF(AND(Param.SonstigEinmaligKonto5="Festgeld",$A11=Param.SonstigEinmaligJahr5),Param.SonstigEinmaligBetrag5,0)</f>
        <v>0</v>
      </c>
      <c r="AX11" s="40">
        <f aca="1">IF(AND(Param.SonstigEinmaligKonto6="Festgeld",$A11=Param.SonstigEinmaligJahr6),Param.SonstigEinmaligBetrag6,0)</f>
        <v>0</v>
      </c>
      <c r="AY11" s="40">
        <f aca="1">IF(AND(Param.SonstigEinmaligKonto7="Festgeld",$A11=Param.SonstigEinmaligJahr7),Param.SonstigEinmaligBetrag7,0)</f>
        <v>0</v>
      </c>
      <c r="AZ11" s="40">
        <f aca="1">IF(AND(Param.SonstigEinmaligKonto8="Festgeld",$A11=Param.SonstigEinmaligJahr8),Param.SonstigEinmaligBetrag8,0)</f>
        <v>0</v>
      </c>
      <c r="BA11" s="40">
        <f aca="1">IF(AND(Param.SonstigEinmaligKonto9="Festgeld",$A11=Param.SonstigEinmaligJahr9),Param.SonstigEinmaligBetrag9,0)</f>
        <v>0</v>
      </c>
      <c r="BB11" s="40">
        <f aca="1">IF(AND(Param.SonstigEinmaligKonto10="Festgeld",$A11=Param.SonstigEinmaligJahr10),Param.SonstigEinmaligBetrag10,0)</f>
        <v>0</v>
      </c>
      <c r="BC11" s="40">
        <f aca="1">IF(AND(A11&gt;=Param.FireStartjahr,AP11&gt;0),MIN(N11*R11,AP11),0)</f>
        <v>0</v>
      </c>
      <c r="BD11" s="5">
        <f aca="1">Param.FestgeldZinssatz</f>
        <v>0.02</v>
      </c>
      <c r="BE11" s="40">
        <f>(AP11+SUM(AQ11:BB11)-BC11)*BD11</f>
        <v>2313.17216019030002</v>
      </c>
      <c r="BF11" s="40">
        <f aca="1">IF(BE11&gt;Param.SparerPauschbetrag,Param.SparerPauschbetrag,BE11)</f>
        <v>1000</v>
      </c>
      <c r="BG11" s="40">
        <f>BE11-BF11</f>
        <v>1313.17216019030002</v>
      </c>
      <c r="BH11" s="40">
        <f aca="1">BG11*Param.KapSt</f>
        <v>346.349157250191638</v>
      </c>
      <c r="BI11" s="40">
        <f>BE11-BH11</f>
        <v>1966.82300294010793</v>
      </c>
      <c r="BJ11" s="63">
        <f>AP11+SUM(AQ11:BB11)-BC11+BI11</f>
        <v>117625.431012455112</v>
      </c>
      <c r="BK11" s="40">
        <f>AL11+BJ11</f>
        <v>548901.87422211899</v>
      </c>
      <c r="BL11" s="40">
        <f aca="1">BK11/(1+Param.Inflationsrate)^(A11-Param.Startjahr)</f>
        <v>473316.365861580416</v>
      </c>
      <c r="BM11" s="52" t="str">
        <f>IF(BK11&lt;N11,A11,"")</f>
        <v/>
      </c>
      <c r="BN11" s="40">
        <f>AH11+BC11</f>
        <v>0</v>
      </c>
      <c r="BO11" s="40">
        <f>SUM(AR11:BB11)</f>
        <v>3746.17443599999979</v>
      </c>
      <c r="BP11" s="40">
        <f>BN11+(-1*BO11)</f>
        <v>-3746.17443599999979</v>
      </c>
      <c r="BQ11" s="40">
        <f>AI11+BH11</f>
        <v>346.349157250191979</v>
      </c>
      <c r="BR11" s="5">
        <f>IF(BK11&gt;0,BP11/BK11,0)</f>
        <v>-0.00682485269577358089</v>
      </c>
    </row>
    <row r="12" spans="1:70">
      <c r="A12">
        <f>A11+1</f>
        <v>2033</v>
      </c>
      <c r="B12">
        <f>B5+(8-1)</f>
        <v>37</v>
      </c>
      <c r="C12" s="10">
        <f aca="1">IF(A12&lt;Param.FireStartjahr,0,Param.EntnahmeBetragStart*(1+Param.Inflationsrate)^(A12-Param.Startjahr))</f>
        <v>0</v>
      </c>
      <c r="D12" s="40">
        <f aca="1">IF(OR($A12&lt;Param.SonstigRegelmJahrBeginn1,$A12&gt;Param.SonstigRegelmJahrEnd1),0,Param.SonstigRegelmBetragJaehrl1*(1+Param.SonstigRegelmSteig1)^(A12-Param.SonstigRegelmJahrBeginn1))</f>
        <v>0</v>
      </c>
      <c r="E12" s="40">
        <f aca="1">IF(OR($A12&lt;Param.SonstigRegelmJahrBeginn2,$A12&gt;Param.SonstigRegelmJahrEnd2),0,Param.SonstigRegelmBetragJaehrl2*(1+Param.SonstigRegelmSteig2)^($A12-Param.SonstigRegelmJahrBeginn2))</f>
        <v>0</v>
      </c>
      <c r="F12" s="40">
        <f aca="1">IF(OR($A12&lt;Param.SonstigRegelmJahrBeginn3,$A12&gt;Param.SonstigRegelmJahrEnd3),0,Param.SonstigRegelmBetragJaehrl3*(1+Param.SonstigRegelmSteig3)^($A12-Param.SonstigRegelmJahrBeginn3))</f>
        <v>3783.6361803599998</v>
      </c>
      <c r="G12" s="40">
        <f aca="1">IF(OR($A12&lt;Param.SonstigRegelmJahrBeginn4,$A12&gt;Param.SonstigRegelmJahrEnd4),0,Param.SonstigRegelmBetragJaehrl4*(1+Param.SonstigRegelmSteig4)^($A12-Param.SonstigRegelmJahrBeginn4))</f>
        <v>0</v>
      </c>
      <c r="H12" s="40">
        <f aca="1">IF(OR($A12&lt;Param.SonstigRegelmJahrBeginn5,$A12&gt;Param.SonstigRegelmJahrEnd5),0,Param.SonstigRegelmBetragJaehrl5*(1+Param.SonstigRegelmSteig5)^($A12-Param.SonstigRegelmJahrBeginn5))</f>
        <v>0</v>
      </c>
      <c r="I12" s="40">
        <f aca="1">IF(OR($A12&lt;Param.SonstigRegelmJahrBeginn6,$A12&gt;Param.SonstigRegelmJahrEnd6),0,Param.SonstigRegelmBetragJaehrl6*(1+Param.SonstigRegelmSteig6)^($A12-Param.SonstigRegelmJahrBeginn6))</f>
        <v>0</v>
      </c>
      <c r="J12" s="40">
        <f aca="1">IF(OR($A12&lt;Param.SonstigRegelmJahrBeginn7,$A12&gt;Param.SonstigRegelmJahrEnd7),0,Param.SonstigRegelmBetragJaehrl7*(1+Param.SonstigRegelmSteig7)^($A12-Param.SonstigRegelmJahrBeginn7))</f>
        <v>0</v>
      </c>
      <c r="K12" s="40">
        <f aca="1">IF(OR($A12&lt;Param.SonstigRegelmJahrBeginn8,$A12&gt;Param.SonstigRegelmJahrEnd8),0,Param.SonstigRegelmBetragJaehrl8*(1+Param.SonstigRegelmSteig8)^($A12-Param.SonstigRegelmJahrBeginn8))</f>
        <v>0</v>
      </c>
      <c r="L12" s="40">
        <f aca="1">IF(OR($A12&lt;Param.SonstigRegelmJahrBeginn9,$A12&gt;Param.SonstigRegelmJahrEnd9),0,Param.SonstigRegelmBetragJaehrl9*(1+Param.SonstigRegelmSteig9)^($A12-Param.SonstigRegelmJahrBeginn9))</f>
        <v>0</v>
      </c>
      <c r="M12" s="40">
        <f aca="1">IF(OR($A12&lt;Param.SonstigRegelmJahrBeginn10,$A12&gt;Param.SonstigRegelmJahrEnd10),0,Param.SonstigRegelmBetragJaehrl10*(1+Param.SonstigRegelmSteig10)^($A12-Param.SonstigRegelmJahrBeginn10))</f>
        <v>0</v>
      </c>
      <c r="N12" s="10">
        <f>MAX(0,C12-SUM(D12:M12))</f>
        <v>0</v>
      </c>
      <c r="O12" s="10">
        <f>IF(N12&lt;=0,SUM(D12:M12)-C12,0)</f>
        <v>3783.6361803599998</v>
      </c>
      <c r="P12" s="10">
        <f>S12+AP12</f>
        <v>548901.87422211899</v>
      </c>
      <c r="Q12" s="11">
        <f>IF(P12&gt;0,S12/P12,0)</f>
        <v>0.78570772566745406</v>
      </c>
      <c r="R12" s="11">
        <f>IF(P12&gt;0,AP12/P12,0)</f>
        <v>0.214292274332546029</v>
      </c>
      <c r="S12" s="10">
        <f>AL11</f>
        <v>431276.44320966443</v>
      </c>
      <c r="T12" s="40">
        <f>AM11</f>
        <v>211776.443209663994</v>
      </c>
      <c r="U12" s="40">
        <f aca="1">IF(A12&lt;Param.FireStartjahr,Param.SparrateDepotMonatl*12*(1+Param.SparrateDynamikJaehrl)^($A12-Param.Startjahr),0)</f>
        <v>6000</v>
      </c>
      <c r="V12" s="40">
        <f aca="1">IF(AND(Param.SonstigEinmaligKonto1="Depot",$A12=Param.SonstigEinmaligJahr1),Param.SonstigEinmaligBetrag1,0)</f>
        <v>0</v>
      </c>
      <c r="W12" s="40">
        <f aca="1">IF(AND(Param.SonstigEinmaligKonto2="Depot",$A12=Param.SonstigEinmaligJahr2),Param.SonstigEinmaligBetrag2,0)</f>
        <v>0</v>
      </c>
      <c r="X12" s="40">
        <f aca="1">IF(AND(Param.SonstigEinmaligKonto3="Depot",$A12=Param.SonstigEinmaligJahr3),Param.SonstigEinmaligBetrag3,0)</f>
        <v>0</v>
      </c>
      <c r="Y12" s="40">
        <f aca="1">IF(AND(Param.SonstigEinmaligKonto4="Depot",$A12=Param.SonstigEinmaligJahr4),Param.SonstigEinmaligBetrag4,0)</f>
        <v>0</v>
      </c>
      <c r="Z12" s="40">
        <f aca="1">IF(AND(Param.SonstigEinmaligKonto5="Depot",$A12=Param.SonstigEinmaligJahr5),Param.SonstigEinmaligBetrag5,0)</f>
        <v>0</v>
      </c>
      <c r="AA12" s="40">
        <f aca="1">IF(AND(Param.SonstigEinmaligKonto6="Depot",$A12=Param.SonstigEinmaligJahr6),Param.SonstigEinmaligBetrag6,0)</f>
        <v>0</v>
      </c>
      <c r="AB12" s="40">
        <f aca="1">IF(AND(Param.SonstigEinmaligKonto7="Depot",$A12=Param.SonstigEinmaligJahr7),Param.SonstigEinmaligBetrag7,0)</f>
        <v>0</v>
      </c>
      <c r="AC12" s="40">
        <f aca="1">IF(AND(Param.SonstigEinmaligKonto8="Depot",$A12=Param.SonstigEinmaligJahr8),Param.SonstigEinmaligBetrag8,0)</f>
        <v>0</v>
      </c>
      <c r="AD12" s="40">
        <f aca="1">IF(AND(Param.SonstigEinmaligKonto9="Depot",$A12=Param.SonstigEinmaligJahr9),Param.SonstigEinmaligBetrag9,0)</f>
        <v>0</v>
      </c>
      <c r="AE12" s="40">
        <f aca="1">IF(AND(Param.SonstigEinmaligKonto10="Depot",$A12=Param.SonstigEinmaligJahr10),Param.SonstigEinmaligBetrag10,0)</f>
        <v>0</v>
      </c>
      <c r="AF12" s="40">
        <f aca="1">Param.SparerPauschbetrag-BF12</f>
        <v>0</v>
      </c>
      <c r="AG12" s="40">
        <f aca="1">IF(AND(A12&gt;=Param.FireStartjahr,S12&gt;0),MIN(N12*Q12,S12),0)</f>
        <v>0</v>
      </c>
      <c r="AH12" s="40">
        <f aca="1">IF(AG12&lt;=0,0,IF(S12&lt;=0,0,AG12/(1-MAX(0,((T12/S12)*(1-Param.Teilfreistellung)-MIN(AF12,AG12)/AG12)*Param.KapSt))))</f>
        <v>0</v>
      </c>
      <c r="AI12" s="40">
        <f>AH12-AG12</f>
        <v>0</v>
      </c>
      <c r="AJ12" s="40">
        <f>T12-AH12*(T12/S12)</f>
        <v>211776.443209663994</v>
      </c>
      <c r="AK12" s="40">
        <f>S12-AH12</f>
        <v>431276.443209664023</v>
      </c>
      <c r="AL12" s="40">
        <f>FV(AO12,12,-(U12/12),-AK12,0)</f>
        <v>454636.721991223982</v>
      </c>
      <c r="AM12" s="40">
        <f>AJ12+AL12-AK12-U12</f>
        <v>229136.721991224011</v>
      </c>
      <c r="AN12" s="5">
        <f>AM12/AL12</f>
        <v>0.503999591118922208</v>
      </c>
      <c r="AO12" s="5">
        <f aca="1">(1+IF(AND(A12&gt;=Param.DepotRenditeSpezBeginn1,A12&lt;=Param.DepotRenditeSpezEnde1),Param.DepotRenditeSpezProz1,IF(AND(A12&gt;=Param.DepotRenditeSpezBeginn2,A12&lt;=Param.DepotRenditeSpezEnde2),Param.DepotRenditeSpezProz2,IF(AND(A12&gt;=Param.DepotRenditeSpezBeginn3,A12&lt;=Param.DepotRenditeSpezEnde3),Param.DepotRenditeSpezProz3,IF(AND(A12&gt;=Param.DepotRenditeSpezBeginn4,A12&lt;=Param.DepotRenditeSpezEnde4),Param.DepotRenditeSpezProz4,IF(AND(A12&gt;=Param.DepotRenditeSpezBeginn5,A12&lt;=Param.DepotRenditeSpezEnde5),Param.DepotRenditeSpezProz5,Param.DepotRenditeDefault))))))^(1/12)-1</f>
        <v>0.00327373978220002471</v>
      </c>
      <c r="AP12" s="40">
        <f>BJ11</f>
        <v>117625.431012455112</v>
      </c>
      <c r="AQ12" s="40">
        <f aca="1">IF(A12&lt;Param.FireStartjahr,Param.SparrateFestgeldMonatl*12*(1+Param.SparrateDynamikJaehrl)^($A12-Param.Startjahr),0)</f>
        <v>1800</v>
      </c>
      <c r="AR12" s="40">
        <f>O12</f>
        <v>3783.6361803599998</v>
      </c>
      <c r="AS12" s="40">
        <f aca="1">IF(AND(Param.SonstigEinmaligKonto1="Festgeld",$A12=Param.SonstigEinmaligJahr1),Param.SonstigEinmaligBetrag1,0)</f>
        <v>0</v>
      </c>
      <c r="AT12" s="40">
        <f aca="1">IF(AND(Param.SonstigEinmaligKonto2="Festgeld",$A12=Param.SonstigEinmaligJahr2),Param.SonstigEinmaligBetrag2,0)</f>
        <v>0</v>
      </c>
      <c r="AU12" s="40">
        <f aca="1">IF(AND(Param.SonstigEinmaligKonto3="Festgeld",$A12=Param.SonstigEinmaligJahr3),Param.SonstigEinmaligBetrag3,0)</f>
        <v>0</v>
      </c>
      <c r="AV12" s="40">
        <f aca="1">IF(AND(Param.SonstigEinmaligKonto4="Festgeld",$A12=Param.SonstigEinmaligJahr4),Param.SonstigEinmaligBetrag4,0)</f>
        <v>0</v>
      </c>
      <c r="AW12" s="40">
        <f aca="1">IF(AND(Param.SonstigEinmaligKonto5="Festgeld",$A12=Param.SonstigEinmaligJahr5),Param.SonstigEinmaligBetrag5,0)</f>
        <v>0</v>
      </c>
      <c r="AX12" s="40">
        <f aca="1">IF(AND(Param.SonstigEinmaligKonto6="Festgeld",$A12=Param.SonstigEinmaligJahr6),Param.SonstigEinmaligBetrag6,0)</f>
        <v>0</v>
      </c>
      <c r="AY12" s="40">
        <f aca="1">IF(AND(Param.SonstigEinmaligKonto7="Festgeld",$A12=Param.SonstigEinmaligJahr7),Param.SonstigEinmaligBetrag7,0)</f>
        <v>0</v>
      </c>
      <c r="AZ12" s="40">
        <f aca="1">IF(AND(Param.SonstigEinmaligKonto8="Festgeld",$A12=Param.SonstigEinmaligJahr8),Param.SonstigEinmaligBetrag8,0)</f>
        <v>0</v>
      </c>
      <c r="BA12" s="40">
        <f aca="1">IF(AND(Param.SonstigEinmaligKonto9="Festgeld",$A12=Param.SonstigEinmaligJahr9),Param.SonstigEinmaligBetrag9,0)</f>
        <v>0</v>
      </c>
      <c r="BB12" s="40">
        <f aca="1">IF(AND(Param.SonstigEinmaligKonto10="Festgeld",$A12=Param.SonstigEinmaligJahr10),Param.SonstigEinmaligBetrag10,0)</f>
        <v>0</v>
      </c>
      <c r="BC12" s="40">
        <f aca="1">IF(AND(A12&gt;=Param.FireStartjahr,AP12&gt;0),MIN(N12*R12,AP12),0)</f>
        <v>0</v>
      </c>
      <c r="BD12" s="5">
        <f aca="1">Param.FestgeldZinssatz</f>
        <v>0.02</v>
      </c>
      <c r="BE12" s="40">
        <f>(AP12+SUM(AQ12:BB12)-BC12)*BD12</f>
        <v>2464.18134385629992</v>
      </c>
      <c r="BF12" s="40">
        <f aca="1">IF(BE12&gt;Param.SparerPauschbetrag,Param.SparerPauschbetrag,BE12)</f>
        <v>1000</v>
      </c>
      <c r="BG12" s="40">
        <f>BE12-BF12</f>
        <v>1464.18134385629992</v>
      </c>
      <c r="BH12" s="40">
        <f aca="1">BG12*Param.KapSt</f>
        <v>386.177829442099096</v>
      </c>
      <c r="BI12" s="40">
        <f>BE12-BH12</f>
        <v>2078.00351441420116</v>
      </c>
      <c r="BJ12" s="63">
        <f>AP12+SUM(AQ12:BB12)-BC12+BI12</f>
        <v>125287.070707229199</v>
      </c>
      <c r="BK12" s="40">
        <f>AL12+BJ12</f>
        <v>579923.792698452948</v>
      </c>
      <c r="BL12" s="40">
        <f aca="1">BK12/(1+Param.Inflationsrate)^(A12-Param.Startjahr)</f>
        <v>487869.725794933038</v>
      </c>
      <c r="BM12" s="52" t="str">
        <f>IF(BK12&lt;N12,A12,"")</f>
        <v/>
      </c>
      <c r="BN12" s="40">
        <f>AH12+BC12</f>
        <v>0</v>
      </c>
      <c r="BO12" s="40">
        <f>SUM(AR12:BB12)</f>
        <v>3783.6361803599998</v>
      </c>
      <c r="BP12" s="40">
        <f>BN12+(-1*BO12)</f>
        <v>-3783.6361803599998</v>
      </c>
      <c r="BQ12" s="40">
        <f>AI12+BH12</f>
        <v>386.177829442098982</v>
      </c>
      <c r="BR12" s="5">
        <f>IF(BK12&gt;0,BP12/BK12,0)</f>
        <v>-0.00652436790488333074</v>
      </c>
    </row>
    <row r="13" spans="1:70">
      <c r="A13">
        <f>A12+1</f>
        <v>2034</v>
      </c>
      <c r="B13">
        <f>B5+(9-1)</f>
        <v>38</v>
      </c>
      <c r="C13" s="10">
        <f aca="1">IF(A13&lt;Param.FireStartjahr,0,Param.EntnahmeBetragStart*(1+Param.Inflationsrate)^(A13-Param.Startjahr))</f>
        <v>0</v>
      </c>
      <c r="D13" s="40">
        <f aca="1">IF(OR($A13&lt;Param.SonstigRegelmJahrBeginn1,$A13&gt;Param.SonstigRegelmJahrEnd1),0,Param.SonstigRegelmBetragJaehrl1*(1+Param.SonstigRegelmSteig1)^(A13-Param.SonstigRegelmJahrBeginn1))</f>
        <v>0</v>
      </c>
      <c r="E13" s="40">
        <f aca="1">IF(OR($A13&lt;Param.SonstigRegelmJahrBeginn2,$A13&gt;Param.SonstigRegelmJahrEnd2),0,Param.SonstigRegelmBetragJaehrl2*(1+Param.SonstigRegelmSteig2)^($A13-Param.SonstigRegelmJahrBeginn2))</f>
        <v>0</v>
      </c>
      <c r="F13" s="40">
        <f aca="1">IF(OR($A13&lt;Param.SonstigRegelmJahrBeginn3,$A13&gt;Param.SonstigRegelmJahrEnd3),0,Param.SonstigRegelmBetragJaehrl3*(1+Param.SonstigRegelmSteig3)^($A13-Param.SonstigRegelmJahrBeginn3))</f>
        <v>3821.47254216359988</v>
      </c>
      <c r="G13" s="40">
        <f aca="1">IF(OR($A13&lt;Param.SonstigRegelmJahrBeginn4,$A13&gt;Param.SonstigRegelmJahrEnd4),0,Param.SonstigRegelmBetragJaehrl4*(1+Param.SonstigRegelmSteig4)^($A13-Param.SonstigRegelmJahrBeginn4))</f>
        <v>0</v>
      </c>
      <c r="H13" s="40">
        <f aca="1">IF(OR($A13&lt;Param.SonstigRegelmJahrBeginn5,$A13&gt;Param.SonstigRegelmJahrEnd5),0,Param.SonstigRegelmBetragJaehrl5*(1+Param.SonstigRegelmSteig5)^($A13-Param.SonstigRegelmJahrBeginn5))</f>
        <v>0</v>
      </c>
      <c r="I13" s="40">
        <f aca="1">IF(OR($A13&lt;Param.SonstigRegelmJahrBeginn6,$A13&gt;Param.SonstigRegelmJahrEnd6),0,Param.SonstigRegelmBetragJaehrl6*(1+Param.SonstigRegelmSteig6)^($A13-Param.SonstigRegelmJahrBeginn6))</f>
        <v>0</v>
      </c>
      <c r="J13" s="40">
        <f aca="1">IF(OR($A13&lt;Param.SonstigRegelmJahrBeginn7,$A13&gt;Param.SonstigRegelmJahrEnd7),0,Param.SonstigRegelmBetragJaehrl7*(1+Param.SonstigRegelmSteig7)^($A13-Param.SonstigRegelmJahrBeginn7))</f>
        <v>0</v>
      </c>
      <c r="K13" s="40">
        <f aca="1">IF(OR($A13&lt;Param.SonstigRegelmJahrBeginn8,$A13&gt;Param.SonstigRegelmJahrEnd8),0,Param.SonstigRegelmBetragJaehrl8*(1+Param.SonstigRegelmSteig8)^($A13-Param.SonstigRegelmJahrBeginn8))</f>
        <v>0</v>
      </c>
      <c r="L13" s="40">
        <f aca="1">IF(OR($A13&lt;Param.SonstigRegelmJahrBeginn9,$A13&gt;Param.SonstigRegelmJahrEnd9),0,Param.SonstigRegelmBetragJaehrl9*(1+Param.SonstigRegelmSteig9)^($A13-Param.SonstigRegelmJahrBeginn9))</f>
        <v>0</v>
      </c>
      <c r="M13" s="40">
        <f aca="1">IF(OR($A13&lt;Param.SonstigRegelmJahrBeginn10,$A13&gt;Param.SonstigRegelmJahrEnd10),0,Param.SonstigRegelmBetragJaehrl10*(1+Param.SonstigRegelmSteig10)^($A13-Param.SonstigRegelmJahrBeginn10))</f>
        <v>0</v>
      </c>
      <c r="N13" s="10">
        <f>MAX(0,C13-SUM(D13:M13))</f>
        <v>0</v>
      </c>
      <c r="O13" s="10">
        <f>IF(N13&lt;=0,SUM(D13:M13)-C13,0)</f>
        <v>3821.47254216359988</v>
      </c>
      <c r="P13" s="10">
        <f>S13+AP13</f>
        <v>579923.792698452948</v>
      </c>
      <c r="Q13" s="11">
        <f>IF(P13&gt;0,S13/P13,0)</f>
        <v>0.783959423143765743</v>
      </c>
      <c r="R13" s="11">
        <f>IF(P13&gt;0,AP13/P13,0)</f>
        <v>0.216040576856234257</v>
      </c>
      <c r="S13" s="10">
        <f>AL12</f>
        <v>454636.721991223982</v>
      </c>
      <c r="T13" s="40">
        <f>AM12</f>
        <v>229136.721991224011</v>
      </c>
      <c r="U13" s="40">
        <f aca="1">IF(A13&lt;Param.FireStartjahr,Param.SparrateDepotMonatl*12*(1+Param.SparrateDynamikJaehrl)^($A13-Param.Startjahr),0)</f>
        <v>6000</v>
      </c>
      <c r="V13" s="40">
        <f aca="1">IF(AND(Param.SonstigEinmaligKonto1="Depot",$A13=Param.SonstigEinmaligJahr1),Param.SonstigEinmaligBetrag1,0)</f>
        <v>0</v>
      </c>
      <c r="W13" s="40">
        <f aca="1">IF(AND(Param.SonstigEinmaligKonto2="Depot",$A13=Param.SonstigEinmaligJahr2),Param.SonstigEinmaligBetrag2,0)</f>
        <v>0</v>
      </c>
      <c r="X13" s="40">
        <f aca="1">IF(AND(Param.SonstigEinmaligKonto3="Depot",$A13=Param.SonstigEinmaligJahr3),Param.SonstigEinmaligBetrag3,0)</f>
        <v>0</v>
      </c>
      <c r="Y13" s="40">
        <f aca="1">IF(AND(Param.SonstigEinmaligKonto4="Depot",$A13=Param.SonstigEinmaligJahr4),Param.SonstigEinmaligBetrag4,0)</f>
        <v>0</v>
      </c>
      <c r="Z13" s="40">
        <f aca="1">IF(AND(Param.SonstigEinmaligKonto5="Depot",$A13=Param.SonstigEinmaligJahr5),Param.SonstigEinmaligBetrag5,0)</f>
        <v>0</v>
      </c>
      <c r="AA13" s="40">
        <f aca="1">IF(AND(Param.SonstigEinmaligKonto6="Depot",$A13=Param.SonstigEinmaligJahr6),Param.SonstigEinmaligBetrag6,0)</f>
        <v>0</v>
      </c>
      <c r="AB13" s="40">
        <f aca="1">IF(AND(Param.SonstigEinmaligKonto7="Depot",$A13=Param.SonstigEinmaligJahr7),Param.SonstigEinmaligBetrag7,0)</f>
        <v>0</v>
      </c>
      <c r="AC13" s="40">
        <f aca="1">IF(AND(Param.SonstigEinmaligKonto8="Depot",$A13=Param.SonstigEinmaligJahr8),Param.SonstigEinmaligBetrag8,0)</f>
        <v>0</v>
      </c>
      <c r="AD13" s="40">
        <f aca="1">IF(AND(Param.SonstigEinmaligKonto9="Depot",$A13=Param.SonstigEinmaligJahr9),Param.SonstigEinmaligBetrag9,0)</f>
        <v>0</v>
      </c>
      <c r="AE13" s="40">
        <f aca="1">IF(AND(Param.SonstigEinmaligKonto10="Depot",$A13=Param.SonstigEinmaligJahr10),Param.SonstigEinmaligBetrag10,0)</f>
        <v>0</v>
      </c>
      <c r="AF13" s="40">
        <f aca="1">Param.SparerPauschbetrag-BF13</f>
        <v>0</v>
      </c>
      <c r="AG13" s="40">
        <f aca="1">IF(AND(A13&gt;=Param.FireStartjahr,S13&gt;0),MIN(N13*Q13,S13),0)</f>
        <v>0</v>
      </c>
      <c r="AH13" s="40">
        <f aca="1">IF(AG13&lt;=0,0,IF(S13&lt;=0,0,AG13/(1-MAX(0,((T13/S13)*(1-Param.Teilfreistellung)-MIN(AF13,AG13)/AG13)*Param.KapSt))))</f>
        <v>0</v>
      </c>
      <c r="AI13" s="40">
        <f>AH13-AG13</f>
        <v>0</v>
      </c>
      <c r="AJ13" s="40">
        <f>T13-AH13*(T13/S13)</f>
        <v>229136.721991224011</v>
      </c>
      <c r="AK13" s="40">
        <f>S13-AH13</f>
        <v>454636.721991223982</v>
      </c>
      <c r="AL13" s="40">
        <f>FV(AO13,12,-(U13/12),-AK13,0)</f>
        <v>488078.189481698093</v>
      </c>
      <c r="AM13" s="40">
        <f>AJ13+AL13-AK13-U13</f>
        <v>256578.189481697977</v>
      </c>
      <c r="AN13" s="5">
        <f>AM13/AL13</f>
        <v>0.525690749988571682</v>
      </c>
      <c r="AO13" s="5">
        <f aca="1">(1+IF(AND(A13&gt;=Param.DepotRenditeSpezBeginn1,A13&lt;=Param.DepotRenditeSpezEnde1),Param.DepotRenditeSpezProz1,IF(AND(A13&gt;=Param.DepotRenditeSpezBeginn2,A13&lt;=Param.DepotRenditeSpezEnde2),Param.DepotRenditeSpezProz2,IF(AND(A13&gt;=Param.DepotRenditeSpezBeginn3,A13&lt;=Param.DepotRenditeSpezEnde3),Param.DepotRenditeSpezProz3,IF(AND(A13&gt;=Param.DepotRenditeSpezBeginn4,A13&lt;=Param.DepotRenditeSpezEnde4),Param.DepotRenditeSpezProz4,IF(AND(A13&gt;=Param.DepotRenditeSpezBeginn5,A13&lt;=Param.DepotRenditeSpezEnde5),Param.DepotRenditeSpezProz5,Param.DepotRenditeDefault))))))^(1/12)-1</f>
        <v>0.00486755056533993979</v>
      </c>
      <c r="AP13" s="40">
        <f>BJ12</f>
        <v>125287.070707229199</v>
      </c>
      <c r="AQ13" s="40">
        <f aca="1">IF(A13&lt;Param.FireStartjahr,Param.SparrateFestgeldMonatl*12*(1+Param.SparrateDynamikJaehrl)^($A13-Param.Startjahr),0)</f>
        <v>1800</v>
      </c>
      <c r="AR13" s="40">
        <f>O13</f>
        <v>3821.47254216359988</v>
      </c>
      <c r="AS13" s="40">
        <f aca="1">IF(AND(Param.SonstigEinmaligKonto1="Festgeld",$A13=Param.SonstigEinmaligJahr1),Param.SonstigEinmaligBetrag1,0)</f>
        <v>0</v>
      </c>
      <c r="AT13" s="40">
        <f aca="1">IF(AND(Param.SonstigEinmaligKonto2="Festgeld",$A13=Param.SonstigEinmaligJahr2),Param.SonstigEinmaligBetrag2,0)</f>
        <v>0</v>
      </c>
      <c r="AU13" s="40">
        <f aca="1">IF(AND(Param.SonstigEinmaligKonto3="Festgeld",$A13=Param.SonstigEinmaligJahr3),Param.SonstigEinmaligBetrag3,0)</f>
        <v>0</v>
      </c>
      <c r="AV13" s="40">
        <f aca="1">IF(AND(Param.SonstigEinmaligKonto4="Festgeld",$A13=Param.SonstigEinmaligJahr4),Param.SonstigEinmaligBetrag4,0)</f>
        <v>0</v>
      </c>
      <c r="AW13" s="40">
        <f aca="1">IF(AND(Param.SonstigEinmaligKonto5="Festgeld",$A13=Param.SonstigEinmaligJahr5),Param.SonstigEinmaligBetrag5,0)</f>
        <v>0</v>
      </c>
      <c r="AX13" s="40">
        <f aca="1">IF(AND(Param.SonstigEinmaligKonto6="Festgeld",$A13=Param.SonstigEinmaligJahr6),Param.SonstigEinmaligBetrag6,0)</f>
        <v>0</v>
      </c>
      <c r="AY13" s="40">
        <f aca="1">IF(AND(Param.SonstigEinmaligKonto7="Festgeld",$A13=Param.SonstigEinmaligJahr7),Param.SonstigEinmaligBetrag7,0)</f>
        <v>0</v>
      </c>
      <c r="AZ13" s="40">
        <f aca="1">IF(AND(Param.SonstigEinmaligKonto8="Festgeld",$A13=Param.SonstigEinmaligJahr8),Param.SonstigEinmaligBetrag8,0)</f>
        <v>0</v>
      </c>
      <c r="BA13" s="40">
        <f aca="1">IF(AND(Param.SonstigEinmaligKonto9="Festgeld",$A13=Param.SonstigEinmaligJahr9),Param.SonstigEinmaligBetrag9,0)</f>
        <v>0</v>
      </c>
      <c r="BB13" s="40">
        <f aca="1">IF(AND(Param.SonstigEinmaligKonto10="Festgeld",$A13=Param.SonstigEinmaligJahr10),Param.SonstigEinmaligBetrag10,0)</f>
        <v>0</v>
      </c>
      <c r="BC13" s="40">
        <f aca="1">IF(AND(A13&gt;=Param.FireStartjahr,AP13&gt;0),MIN(N13*R13,AP13),0)</f>
        <v>0</v>
      </c>
      <c r="BD13" s="5">
        <f aca="1">Param.FestgeldZinssatz</f>
        <v>0.02</v>
      </c>
      <c r="BE13" s="40">
        <f>(AP13+SUM(AQ13:BB13)-BC13)*BD13</f>
        <v>2618.17086498786011</v>
      </c>
      <c r="BF13" s="40">
        <f aca="1">IF(BE13&gt;Param.SparerPauschbetrag,Param.SparerPauschbetrag,BE13)</f>
        <v>1000</v>
      </c>
      <c r="BG13" s="40">
        <f>BE13-BF13</f>
        <v>1618.17086498786011</v>
      </c>
      <c r="BH13" s="40">
        <f aca="1">BG13*Param.KapSt</f>
        <v>426.792565640548105</v>
      </c>
      <c r="BI13" s="40">
        <f>BE13-BH13</f>
        <v>2191.37829934731235</v>
      </c>
      <c r="BJ13" s="63">
        <f>AP13+SUM(AQ13:BB13)-BC13+BI13</f>
        <v>133099.921548740298</v>
      </c>
      <c r="BK13" s="40">
        <f>AL13+BJ13</f>
        <v>621178.111030437984</v>
      </c>
      <c r="BL13" s="40">
        <f aca="1">BK13/(1+Param.Inflationsrate)^(A13-Param.Startjahr)</f>
        <v>509829.804492385068</v>
      </c>
      <c r="BM13" s="52" t="str">
        <f>IF(BK13&lt;N13,A13,"")</f>
        <v/>
      </c>
      <c r="BN13" s="40">
        <f>AH13+BC13</f>
        <v>0</v>
      </c>
      <c r="BO13" s="40">
        <f>SUM(AR13:BB13)</f>
        <v>3821.47254216359988</v>
      </c>
      <c r="BP13" s="40">
        <f>BN13+(-1*BO13)</f>
        <v>-3821.47254216359988</v>
      </c>
      <c r="BQ13" s="40">
        <f>AI13+BH13</f>
        <v>426.792565640547991</v>
      </c>
      <c r="BR13" s="5">
        <f>IF(BK13&gt;0,BP13/BK13,0)</f>
        <v>-0.00615197553536516395</v>
      </c>
    </row>
    <row r="14" spans="1:70">
      <c r="A14">
        <f>A13+1</f>
        <v>2035</v>
      </c>
      <c r="B14">
        <f>B5+(10-1)</f>
        <v>39</v>
      </c>
      <c r="C14" s="10">
        <f aca="1">IF(A14&lt;Param.FireStartjahr,0,Param.EntnahmeBetragStart*(1+Param.Inflationsrate)^(A14-Param.Startjahr))</f>
        <v>0</v>
      </c>
      <c r="D14" s="40">
        <f aca="1">IF(OR($A14&lt;Param.SonstigRegelmJahrBeginn1,$A14&gt;Param.SonstigRegelmJahrEnd1),0,Param.SonstigRegelmBetragJaehrl1*(1+Param.SonstigRegelmSteig1)^(A14-Param.SonstigRegelmJahrBeginn1))</f>
        <v>0</v>
      </c>
      <c r="E14" s="40">
        <f aca="1">IF(OR($A14&lt;Param.SonstigRegelmJahrBeginn2,$A14&gt;Param.SonstigRegelmJahrEnd2),0,Param.SonstigRegelmBetragJaehrl2*(1+Param.SonstigRegelmSteig2)^($A14-Param.SonstigRegelmJahrBeginn2))</f>
        <v>0</v>
      </c>
      <c r="F14" s="40">
        <f aca="1">IF(OR($A14&lt;Param.SonstigRegelmJahrBeginn3,$A14&gt;Param.SonstigRegelmJahrEnd3),0,Param.SonstigRegelmBetragJaehrl3*(1+Param.SonstigRegelmSteig3)^($A14-Param.SonstigRegelmJahrBeginn3))</f>
        <v>3859.68726758523599</v>
      </c>
      <c r="G14" s="40">
        <f aca="1">IF(OR($A14&lt;Param.SonstigRegelmJahrBeginn4,$A14&gt;Param.SonstigRegelmJahrEnd4),0,Param.SonstigRegelmBetragJaehrl4*(1+Param.SonstigRegelmSteig4)^($A14-Param.SonstigRegelmJahrBeginn4))</f>
        <v>0</v>
      </c>
      <c r="H14" s="40">
        <f aca="1">IF(OR($A14&lt;Param.SonstigRegelmJahrBeginn5,$A14&gt;Param.SonstigRegelmJahrEnd5),0,Param.SonstigRegelmBetragJaehrl5*(1+Param.SonstigRegelmSteig5)^($A14-Param.SonstigRegelmJahrBeginn5))</f>
        <v>0</v>
      </c>
      <c r="I14" s="40">
        <f aca="1">IF(OR($A14&lt;Param.SonstigRegelmJahrBeginn6,$A14&gt;Param.SonstigRegelmJahrEnd6),0,Param.SonstigRegelmBetragJaehrl6*(1+Param.SonstigRegelmSteig6)^($A14-Param.SonstigRegelmJahrBeginn6))</f>
        <v>0</v>
      </c>
      <c r="J14" s="40">
        <f aca="1">IF(OR($A14&lt;Param.SonstigRegelmJahrBeginn7,$A14&gt;Param.SonstigRegelmJahrEnd7),0,Param.SonstigRegelmBetragJaehrl7*(1+Param.SonstigRegelmSteig7)^($A14-Param.SonstigRegelmJahrBeginn7))</f>
        <v>0</v>
      </c>
      <c r="K14" s="40">
        <f aca="1">IF(OR($A14&lt;Param.SonstigRegelmJahrBeginn8,$A14&gt;Param.SonstigRegelmJahrEnd8),0,Param.SonstigRegelmBetragJaehrl8*(1+Param.SonstigRegelmSteig8)^($A14-Param.SonstigRegelmJahrBeginn8))</f>
        <v>0</v>
      </c>
      <c r="L14" s="40">
        <f aca="1">IF(OR($A14&lt;Param.SonstigRegelmJahrBeginn9,$A14&gt;Param.SonstigRegelmJahrEnd9),0,Param.SonstigRegelmBetragJaehrl9*(1+Param.SonstigRegelmSteig9)^($A14-Param.SonstigRegelmJahrBeginn9))</f>
        <v>0</v>
      </c>
      <c r="M14" s="40">
        <f aca="1">IF(OR($A14&lt;Param.SonstigRegelmJahrBeginn10,$A14&gt;Param.SonstigRegelmJahrEnd10),0,Param.SonstigRegelmBetragJaehrl10*(1+Param.SonstigRegelmSteig10)^($A14-Param.SonstigRegelmJahrBeginn10))</f>
        <v>0</v>
      </c>
      <c r="N14" s="10">
        <f>MAX(0,C14-SUM(D14:M14))</f>
        <v>0</v>
      </c>
      <c r="O14" s="10">
        <f>IF(N14&lt;=0,SUM(D14:M14)-C14,0)</f>
        <v>3859.68726758524008</v>
      </c>
      <c r="P14" s="10">
        <f>S14+AP14</f>
        <v>621178.111030437984</v>
      </c>
      <c r="Q14" s="11">
        <f>IF(P14&gt;0,S14/P14,0)</f>
        <v>0.78572985881948112</v>
      </c>
      <c r="R14" s="11">
        <f>IF(P14&gt;0,AP14/P14,0)</f>
        <v>0.214270141180518925</v>
      </c>
      <c r="S14" s="10">
        <f>AL13</f>
        <v>488078.189481698093</v>
      </c>
      <c r="T14" s="40">
        <f>AM13</f>
        <v>256578.189481697977</v>
      </c>
      <c r="U14" s="40">
        <f aca="1">IF(A14&lt;Param.FireStartjahr,Param.SparrateDepotMonatl*12*(1+Param.SparrateDynamikJaehrl)^($A14-Param.Startjahr),0)</f>
        <v>6000</v>
      </c>
      <c r="V14" s="40">
        <f aca="1">IF(AND(Param.SonstigEinmaligKonto1="Depot",$A14=Param.SonstigEinmaligJahr1),Param.SonstigEinmaligBetrag1,0)</f>
        <v>0</v>
      </c>
      <c r="W14" s="40">
        <f aca="1">IF(AND(Param.SonstigEinmaligKonto2="Depot",$A14=Param.SonstigEinmaligJahr2),Param.SonstigEinmaligBetrag2,0)</f>
        <v>0</v>
      </c>
      <c r="X14" s="40">
        <f aca="1">IF(AND(Param.SonstigEinmaligKonto3="Depot",$A14=Param.SonstigEinmaligJahr3),Param.SonstigEinmaligBetrag3,0)</f>
        <v>0</v>
      </c>
      <c r="Y14" s="40">
        <f aca="1">IF(AND(Param.SonstigEinmaligKonto4="Depot",$A14=Param.SonstigEinmaligJahr4),Param.SonstigEinmaligBetrag4,0)</f>
        <v>0</v>
      </c>
      <c r="Z14" s="40">
        <f aca="1">IF(AND(Param.SonstigEinmaligKonto5="Depot",$A14=Param.SonstigEinmaligJahr5),Param.SonstigEinmaligBetrag5,0)</f>
        <v>0</v>
      </c>
      <c r="AA14" s="40">
        <f aca="1">IF(AND(Param.SonstigEinmaligKonto6="Depot",$A14=Param.SonstigEinmaligJahr6),Param.SonstigEinmaligBetrag6,0)</f>
        <v>0</v>
      </c>
      <c r="AB14" s="40">
        <f aca="1">IF(AND(Param.SonstigEinmaligKonto7="Depot",$A14=Param.SonstigEinmaligJahr7),Param.SonstigEinmaligBetrag7,0)</f>
        <v>0</v>
      </c>
      <c r="AC14" s="40">
        <f aca="1">IF(AND(Param.SonstigEinmaligKonto8="Depot",$A14=Param.SonstigEinmaligJahr8),Param.SonstigEinmaligBetrag8,0)</f>
        <v>0</v>
      </c>
      <c r="AD14" s="40">
        <f aca="1">IF(AND(Param.SonstigEinmaligKonto9="Depot",$A14=Param.SonstigEinmaligJahr9),Param.SonstigEinmaligBetrag9,0)</f>
        <v>0</v>
      </c>
      <c r="AE14" s="40">
        <f aca="1">IF(AND(Param.SonstigEinmaligKonto10="Depot",$A14=Param.SonstigEinmaligJahr10),Param.SonstigEinmaligBetrag10,0)</f>
        <v>0</v>
      </c>
      <c r="AF14" s="40">
        <f aca="1">Param.SparerPauschbetrag-BF14</f>
        <v>0</v>
      </c>
      <c r="AG14" s="40">
        <f aca="1">IF(AND(A14&gt;=Param.FireStartjahr,S14&gt;0),MIN(N14*Q14,S14),0)</f>
        <v>0</v>
      </c>
      <c r="AH14" s="40">
        <f aca="1">IF(AG14&lt;=0,0,IF(S14&lt;=0,0,AG14/(1-MAX(0,((T14/S14)*(1-Param.Teilfreistellung)-MIN(AF14,AG14)/AG14)*Param.KapSt))))</f>
        <v>0</v>
      </c>
      <c r="AI14" s="40">
        <f>AH14-AG14</f>
        <v>0</v>
      </c>
      <c r="AJ14" s="40">
        <f>T14-AH14*(T14/S14)</f>
        <v>256578.189481698006</v>
      </c>
      <c r="AK14" s="40">
        <f>S14-AH14</f>
        <v>488078.189481697977</v>
      </c>
      <c r="AL14" s="40">
        <f>FV(AO14,12,-(U14/12),-AK14,0)</f>
        <v>523526.145021599194</v>
      </c>
      <c r="AM14" s="40">
        <f>AJ14+AL14-AK14-U14</f>
        <v>286026.145021599019</v>
      </c>
      <c r="AN14" s="5">
        <f>AM14/AL14</f>
        <v>0.546345483872249549</v>
      </c>
      <c r="AO14" s="5">
        <f aca="1">(1+IF(AND(A14&gt;=Param.DepotRenditeSpezBeginn1,A14&lt;=Param.DepotRenditeSpezEnde1),Param.DepotRenditeSpezProz1,IF(AND(A14&gt;=Param.DepotRenditeSpezBeginn2,A14&lt;=Param.DepotRenditeSpezEnde2),Param.DepotRenditeSpezProz2,IF(AND(A14&gt;=Param.DepotRenditeSpezBeginn3,A14&lt;=Param.DepotRenditeSpezEnde3),Param.DepotRenditeSpezProz3,IF(AND(A14&gt;=Param.DepotRenditeSpezBeginn4,A14&lt;=Param.DepotRenditeSpezEnde4),Param.DepotRenditeSpezProz4,IF(AND(A14&gt;=Param.DepotRenditeSpezBeginn5,A14&lt;=Param.DepotRenditeSpezEnde5),Param.DepotRenditeSpezProz5,Param.DepotRenditeDefault))))))^(1/12)-1</f>
        <v>0.00486755056533993979</v>
      </c>
      <c r="AP14" s="40">
        <f>BJ13</f>
        <v>133099.921548740298</v>
      </c>
      <c r="AQ14" s="40">
        <f aca="1">IF(A14&lt;Param.FireStartjahr,Param.SparrateFestgeldMonatl*12*(1+Param.SparrateDynamikJaehrl)^($A14-Param.Startjahr),0)</f>
        <v>1800</v>
      </c>
      <c r="AR14" s="40">
        <f>O14</f>
        <v>3859.68726758524008</v>
      </c>
      <c r="AS14" s="40">
        <f aca="1">IF(AND(Param.SonstigEinmaligKonto1="Festgeld",$A14=Param.SonstigEinmaligJahr1),Param.SonstigEinmaligBetrag1,0)</f>
        <v>0</v>
      </c>
      <c r="AT14" s="40">
        <f aca="1">IF(AND(Param.SonstigEinmaligKonto2="Festgeld",$A14=Param.SonstigEinmaligJahr2),Param.SonstigEinmaligBetrag2,0)</f>
        <v>0</v>
      </c>
      <c r="AU14" s="40">
        <f aca="1">IF(AND(Param.SonstigEinmaligKonto3="Festgeld",$A14=Param.SonstigEinmaligJahr3),Param.SonstigEinmaligBetrag3,0)</f>
        <v>0</v>
      </c>
      <c r="AV14" s="40">
        <f aca="1">IF(AND(Param.SonstigEinmaligKonto4="Festgeld",$A14=Param.SonstigEinmaligJahr4),Param.SonstigEinmaligBetrag4,0)</f>
        <v>0</v>
      </c>
      <c r="AW14" s="40">
        <f aca="1">IF(AND(Param.SonstigEinmaligKonto5="Festgeld",$A14=Param.SonstigEinmaligJahr5),Param.SonstigEinmaligBetrag5,0)</f>
        <v>0</v>
      </c>
      <c r="AX14" s="40">
        <f aca="1">IF(AND(Param.SonstigEinmaligKonto6="Festgeld",$A14=Param.SonstigEinmaligJahr6),Param.SonstigEinmaligBetrag6,0)</f>
        <v>0</v>
      </c>
      <c r="AY14" s="40">
        <f aca="1">IF(AND(Param.SonstigEinmaligKonto7="Festgeld",$A14=Param.SonstigEinmaligJahr7),Param.SonstigEinmaligBetrag7,0)</f>
        <v>0</v>
      </c>
      <c r="AZ14" s="40">
        <f aca="1">IF(AND(Param.SonstigEinmaligKonto8="Festgeld",$A14=Param.SonstigEinmaligJahr8),Param.SonstigEinmaligBetrag8,0)</f>
        <v>0</v>
      </c>
      <c r="BA14" s="40">
        <f aca="1">IF(AND(Param.SonstigEinmaligKonto9="Festgeld",$A14=Param.SonstigEinmaligJahr9),Param.SonstigEinmaligBetrag9,0)</f>
        <v>0</v>
      </c>
      <c r="BB14" s="40">
        <f aca="1">IF(AND(Param.SonstigEinmaligKonto10="Festgeld",$A14=Param.SonstigEinmaligJahr10),Param.SonstigEinmaligBetrag10,0)</f>
        <v>0</v>
      </c>
      <c r="BC14" s="40">
        <f aca="1">IF(AND(A14&gt;=Param.FireStartjahr,AP14&gt;0),MIN(N14*R14,AP14),0)</f>
        <v>0</v>
      </c>
      <c r="BD14" s="5">
        <f aca="1">Param.FestgeldZinssatz</f>
        <v>0.02</v>
      </c>
      <c r="BE14" s="40">
        <f>(AP14+SUM(AQ14:BB14)-BC14)*BD14</f>
        <v>2775.19217632649998</v>
      </c>
      <c r="BF14" s="40">
        <f aca="1">IF(BE14&gt;Param.SparerPauschbetrag,Param.SparerPauschbetrag,BE14)</f>
        <v>1000</v>
      </c>
      <c r="BG14" s="40">
        <f>BE14-BF14</f>
        <v>1775.19217632649998</v>
      </c>
      <c r="BH14" s="40">
        <f aca="1">BG14*Param.KapSt</f>
        <v>468.206936506114346</v>
      </c>
      <c r="BI14" s="40">
        <f>BE14-BH14</f>
        <v>2306.98523982038614</v>
      </c>
      <c r="BJ14" s="63">
        <f>AP14+SUM(AQ14:BB14)-BC14+BI14</f>
        <v>141066.594056145375</v>
      </c>
      <c r="BK14" s="40">
        <f>AL14+BJ14</f>
        <v>664592.739077744074</v>
      </c>
      <c r="BL14" s="40">
        <f aca="1">BK14/(1+Param.Inflationsrate)^(A14-Param.Startjahr)</f>
        <v>532158.255205206224</v>
      </c>
      <c r="BM14" s="52" t="str">
        <f>IF(BK14&lt;N14,A14,"")</f>
        <v/>
      </c>
      <c r="BN14" s="40">
        <f>AH14+BC14</f>
        <v>0</v>
      </c>
      <c r="BO14" s="40">
        <f>SUM(AR14:BB14)</f>
        <v>3859.68726758524008</v>
      </c>
      <c r="BP14" s="40">
        <f>BN14+(-1*BO14)</f>
        <v>-3859.68726758524008</v>
      </c>
      <c r="BQ14" s="40">
        <f>AI14+BH14</f>
        <v>468.206936506114005</v>
      </c>
      <c r="BR14" s="5">
        <f>IF(BK14&gt;0,BP14/BK14,0)</f>
        <v>-0.00580759770704286105</v>
      </c>
    </row>
    <row r="15" spans="1:70">
      <c r="A15">
        <f>A14+1</f>
        <v>2036</v>
      </c>
      <c r="B15">
        <f>B5+(11-1)</f>
        <v>40</v>
      </c>
      <c r="C15" s="10">
        <f aca="1">IF(A15&lt;Param.FireStartjahr,0,Param.EntnahmeBetragStart*(1+Param.Inflationsrate)^(A15-Param.Startjahr))</f>
        <v>0</v>
      </c>
      <c r="D15" s="40">
        <f aca="1">IF(OR($A15&lt;Param.SonstigRegelmJahrBeginn1,$A15&gt;Param.SonstigRegelmJahrEnd1),0,Param.SonstigRegelmBetragJaehrl1*(1+Param.SonstigRegelmSteig1)^(A15-Param.SonstigRegelmJahrBeginn1))</f>
        <v>0</v>
      </c>
      <c r="E15" s="40">
        <f aca="1">IF(OR($A15&lt;Param.SonstigRegelmJahrBeginn2,$A15&gt;Param.SonstigRegelmJahrEnd2),0,Param.SonstigRegelmBetragJaehrl2*(1+Param.SonstigRegelmSteig2)^($A15-Param.SonstigRegelmJahrBeginn2))</f>
        <v>0</v>
      </c>
      <c r="F15" s="40">
        <f aca="1">IF(OR($A15&lt;Param.SonstigRegelmJahrBeginn3,$A15&gt;Param.SonstigRegelmJahrEnd3),0,Param.SonstigRegelmBetragJaehrl3*(1+Param.SonstigRegelmSteig3)^($A15-Param.SonstigRegelmJahrBeginn3))</f>
        <v>3898.28414026108794</v>
      </c>
      <c r="G15" s="40">
        <f aca="1">IF(OR($A15&lt;Param.SonstigRegelmJahrBeginn4,$A15&gt;Param.SonstigRegelmJahrEnd4),0,Param.SonstigRegelmBetragJaehrl4*(1+Param.SonstigRegelmSteig4)^($A15-Param.SonstigRegelmJahrBeginn4))</f>
        <v>0</v>
      </c>
      <c r="H15" s="40">
        <f aca="1">IF(OR($A15&lt;Param.SonstigRegelmJahrBeginn5,$A15&gt;Param.SonstigRegelmJahrEnd5),0,Param.SonstigRegelmBetragJaehrl5*(1+Param.SonstigRegelmSteig5)^($A15-Param.SonstigRegelmJahrBeginn5))</f>
        <v>0</v>
      </c>
      <c r="I15" s="40">
        <f aca="1">IF(OR($A15&lt;Param.SonstigRegelmJahrBeginn6,$A15&gt;Param.SonstigRegelmJahrEnd6),0,Param.SonstigRegelmBetragJaehrl6*(1+Param.SonstigRegelmSteig6)^($A15-Param.SonstigRegelmJahrBeginn6))</f>
        <v>0</v>
      </c>
      <c r="J15" s="40">
        <f aca="1">IF(OR($A15&lt;Param.SonstigRegelmJahrBeginn7,$A15&gt;Param.SonstigRegelmJahrEnd7),0,Param.SonstigRegelmBetragJaehrl7*(1+Param.SonstigRegelmSteig7)^($A15-Param.SonstigRegelmJahrBeginn7))</f>
        <v>0</v>
      </c>
      <c r="K15" s="40">
        <f aca="1">IF(OR($A15&lt;Param.SonstigRegelmJahrBeginn8,$A15&gt;Param.SonstigRegelmJahrEnd8),0,Param.SonstigRegelmBetragJaehrl8*(1+Param.SonstigRegelmSteig8)^($A15-Param.SonstigRegelmJahrBeginn8))</f>
        <v>0</v>
      </c>
      <c r="L15" s="40">
        <f aca="1">IF(OR($A15&lt;Param.SonstigRegelmJahrBeginn9,$A15&gt;Param.SonstigRegelmJahrEnd9),0,Param.SonstigRegelmBetragJaehrl9*(1+Param.SonstigRegelmSteig9)^($A15-Param.SonstigRegelmJahrBeginn9))</f>
        <v>0</v>
      </c>
      <c r="M15" s="40">
        <f aca="1">IF(OR($A15&lt;Param.SonstigRegelmJahrBeginn10,$A15&gt;Param.SonstigRegelmJahrEnd10),0,Param.SonstigRegelmBetragJaehrl10*(1+Param.SonstigRegelmSteig10)^($A15-Param.SonstigRegelmJahrBeginn10))</f>
        <v>0</v>
      </c>
      <c r="N15" s="10">
        <f>MAX(0,C15-SUM(D15:M15))</f>
        <v>0</v>
      </c>
      <c r="O15" s="10">
        <f>IF(N15&lt;=0,SUM(D15:M15)-C15,0)</f>
        <v>3898.28414026109022</v>
      </c>
      <c r="P15" s="10">
        <f>S15+AP15</f>
        <v>664592.739077744074</v>
      </c>
      <c r="Q15" s="11">
        <f>IF(P15&gt;0,S15/P15,0)</f>
        <v>0.787739790458885913</v>
      </c>
      <c r="R15" s="11">
        <f>IF(P15&gt;0,AP15/P15,0)</f>
        <v>0.212260209541114264</v>
      </c>
      <c r="S15" s="10">
        <f>AL14</f>
        <v>523526.145021599194</v>
      </c>
      <c r="T15" s="40">
        <f>AM14</f>
        <v>286026.145021599019</v>
      </c>
      <c r="U15" s="40">
        <f aca="1">IF(A15&lt;Param.FireStartjahr,Param.SparrateDepotMonatl*12*(1+Param.SparrateDynamikJaehrl)^($A15-Param.Startjahr),0)</f>
        <v>6000</v>
      </c>
      <c r="V15" s="40">
        <f aca="1">IF(AND(Param.SonstigEinmaligKonto1="Depot",$A15=Param.SonstigEinmaligJahr1),Param.SonstigEinmaligBetrag1,0)</f>
        <v>0</v>
      </c>
      <c r="W15" s="40">
        <f aca="1">IF(AND(Param.SonstigEinmaligKonto2="Depot",$A15=Param.SonstigEinmaligJahr2),Param.SonstigEinmaligBetrag2,0)</f>
        <v>0</v>
      </c>
      <c r="X15" s="40">
        <f aca="1">IF(AND(Param.SonstigEinmaligKonto3="Depot",$A15=Param.SonstigEinmaligJahr3),Param.SonstigEinmaligBetrag3,0)</f>
        <v>0</v>
      </c>
      <c r="Y15" s="40">
        <f aca="1">IF(AND(Param.SonstigEinmaligKonto4="Depot",$A15=Param.SonstigEinmaligJahr4),Param.SonstigEinmaligBetrag4,0)</f>
        <v>0</v>
      </c>
      <c r="Z15" s="40">
        <f aca="1">IF(AND(Param.SonstigEinmaligKonto5="Depot",$A15=Param.SonstigEinmaligJahr5),Param.SonstigEinmaligBetrag5,0)</f>
        <v>0</v>
      </c>
      <c r="AA15" s="40">
        <f aca="1">IF(AND(Param.SonstigEinmaligKonto6="Depot",$A15=Param.SonstigEinmaligJahr6),Param.SonstigEinmaligBetrag6,0)</f>
        <v>0</v>
      </c>
      <c r="AB15" s="40">
        <f aca="1">IF(AND(Param.SonstigEinmaligKonto7="Depot",$A15=Param.SonstigEinmaligJahr7),Param.SonstigEinmaligBetrag7,0)</f>
        <v>0</v>
      </c>
      <c r="AC15" s="40">
        <f aca="1">IF(AND(Param.SonstigEinmaligKonto8="Depot",$A15=Param.SonstigEinmaligJahr8),Param.SonstigEinmaligBetrag8,0)</f>
        <v>0</v>
      </c>
      <c r="AD15" s="40">
        <f aca="1">IF(AND(Param.SonstigEinmaligKonto9="Depot",$A15=Param.SonstigEinmaligJahr9),Param.SonstigEinmaligBetrag9,0)</f>
        <v>0</v>
      </c>
      <c r="AE15" s="40">
        <f aca="1">IF(AND(Param.SonstigEinmaligKonto10="Depot",$A15=Param.SonstigEinmaligJahr10),Param.SonstigEinmaligBetrag10,0)</f>
        <v>0</v>
      </c>
      <c r="AF15" s="40">
        <f aca="1">Param.SparerPauschbetrag-BF15</f>
        <v>0</v>
      </c>
      <c r="AG15" s="40">
        <f aca="1">IF(AND(A15&gt;=Param.FireStartjahr,S15&gt;0),MIN(N15*Q15,S15),0)</f>
        <v>0</v>
      </c>
      <c r="AH15" s="40">
        <f aca="1">IF(AG15&lt;=0,0,IF(S15&lt;=0,0,AG15/(1-MAX(0,((T15/S15)*(1-Param.Teilfreistellung)-MIN(AF15,AG15)/AG15)*Param.KapSt))))</f>
        <v>0</v>
      </c>
      <c r="AI15" s="40">
        <f>AH15-AG15</f>
        <v>0</v>
      </c>
      <c r="AJ15" s="40">
        <f>T15-AH15*(T15/S15)</f>
        <v>286026.145021599019</v>
      </c>
      <c r="AK15" s="40">
        <f>S15-AH15</f>
        <v>523526.145021599019</v>
      </c>
      <c r="AL15" s="40">
        <f>FV(AO15,12,-(U15/12),-AK15,0)</f>
        <v>561100.977893892908</v>
      </c>
      <c r="AM15" s="40">
        <f>AJ15+AL15-AK15-U15</f>
        <v>317600.977893893025</v>
      </c>
      <c r="AN15" s="5">
        <f>AM15/AL15</f>
        <v>0.566031766841712614</v>
      </c>
      <c r="AO15" s="5">
        <f aca="1">(1+IF(AND(A15&gt;=Param.DepotRenditeSpezBeginn1,A15&lt;=Param.DepotRenditeSpezEnde1),Param.DepotRenditeSpezProz1,IF(AND(A15&gt;=Param.DepotRenditeSpezBeginn2,A15&lt;=Param.DepotRenditeSpezEnde2),Param.DepotRenditeSpezProz2,IF(AND(A15&gt;=Param.DepotRenditeSpezBeginn3,A15&lt;=Param.DepotRenditeSpezEnde3),Param.DepotRenditeSpezProz3,IF(AND(A15&gt;=Param.DepotRenditeSpezBeginn4,A15&lt;=Param.DepotRenditeSpezEnde4),Param.DepotRenditeSpezProz4,IF(AND(A15&gt;=Param.DepotRenditeSpezBeginn5,A15&lt;=Param.DepotRenditeSpezEnde5),Param.DepotRenditeSpezProz5,Param.DepotRenditeDefault))))))^(1/12)-1</f>
        <v>0.00486755056533993979</v>
      </c>
      <c r="AP15" s="40">
        <f>BJ14</f>
        <v>141066.594056145375</v>
      </c>
      <c r="AQ15" s="40">
        <f aca="1">IF(A15&lt;Param.FireStartjahr,Param.SparrateFestgeldMonatl*12*(1+Param.SparrateDynamikJaehrl)^($A15-Param.Startjahr),0)</f>
        <v>1800</v>
      </c>
      <c r="AR15" s="40">
        <f>O15</f>
        <v>3898.28414026109022</v>
      </c>
      <c r="AS15" s="40">
        <f aca="1">IF(AND(Param.SonstigEinmaligKonto1="Festgeld",$A15=Param.SonstigEinmaligJahr1),Param.SonstigEinmaligBetrag1,0)</f>
        <v>0</v>
      </c>
      <c r="AT15" s="40">
        <f aca="1">IF(AND(Param.SonstigEinmaligKonto2="Festgeld",$A15=Param.SonstigEinmaligJahr2),Param.SonstigEinmaligBetrag2,0)</f>
        <v>0</v>
      </c>
      <c r="AU15" s="40">
        <f aca="1">IF(AND(Param.SonstigEinmaligKonto3="Festgeld",$A15=Param.SonstigEinmaligJahr3),Param.SonstigEinmaligBetrag3,0)</f>
        <v>0</v>
      </c>
      <c r="AV15" s="40">
        <f aca="1">IF(AND(Param.SonstigEinmaligKonto4="Festgeld",$A15=Param.SonstigEinmaligJahr4),Param.SonstigEinmaligBetrag4,0)</f>
        <v>0</v>
      </c>
      <c r="AW15" s="40">
        <f aca="1">IF(AND(Param.SonstigEinmaligKonto5="Festgeld",$A15=Param.SonstigEinmaligJahr5),Param.SonstigEinmaligBetrag5,0)</f>
        <v>0</v>
      </c>
      <c r="AX15" s="40">
        <f aca="1">IF(AND(Param.SonstigEinmaligKonto6="Festgeld",$A15=Param.SonstigEinmaligJahr6),Param.SonstigEinmaligBetrag6,0)</f>
        <v>0</v>
      </c>
      <c r="AY15" s="40">
        <f aca="1">IF(AND(Param.SonstigEinmaligKonto7="Festgeld",$A15=Param.SonstigEinmaligJahr7),Param.SonstigEinmaligBetrag7,0)</f>
        <v>0</v>
      </c>
      <c r="AZ15" s="40">
        <f aca="1">IF(AND(Param.SonstigEinmaligKonto8="Festgeld",$A15=Param.SonstigEinmaligJahr8),Param.SonstigEinmaligBetrag8,0)</f>
        <v>0</v>
      </c>
      <c r="BA15" s="40">
        <f aca="1">IF(AND(Param.SonstigEinmaligKonto9="Festgeld",$A15=Param.SonstigEinmaligJahr9),Param.SonstigEinmaligBetrag9,0)</f>
        <v>0</v>
      </c>
      <c r="BB15" s="40">
        <f aca="1">IF(AND(Param.SonstigEinmaligKonto10="Festgeld",$A15=Param.SonstigEinmaligJahr10),Param.SonstigEinmaligBetrag10,0)</f>
        <v>0</v>
      </c>
      <c r="BC15" s="40">
        <f aca="1">IF(AND(A15&gt;=Param.FireStartjahr,AP15&gt;0),MIN(N15*R15,AP15),0)</f>
        <v>0</v>
      </c>
      <c r="BD15" s="5">
        <f aca="1">Param.FestgeldZinssatz</f>
        <v>0.02</v>
      </c>
      <c r="BE15" s="40">
        <f>(AP15+AQ15-BC15)*BD15</f>
        <v>2857.33188112290009</v>
      </c>
      <c r="BF15" s="40">
        <f aca="1">IF(BE15&gt;Param.SparerPauschbetrag,Param.SparerPauschbetrag,BE15)</f>
        <v>1000</v>
      </c>
      <c r="BG15" s="40">
        <f>BE15-BF15</f>
        <v>1857.33188112290009</v>
      </c>
      <c r="BH15" s="40">
        <f aca="1">BG15*Param.KapSt</f>
        <v>489.871283646164841</v>
      </c>
      <c r="BI15" s="40">
        <f>BE15-BH15</f>
        <v>2367.46059747673507</v>
      </c>
      <c r="BJ15" s="63">
        <f>AP15+SUM(AQ15:BB15)-BC15+BI15</f>
        <v>149132.338793882751</v>
      </c>
      <c r="BK15" s="40">
        <f>AL15+BJ15</f>
        <v>710233.316687776009</v>
      </c>
      <c r="BL15" s="40">
        <f aca="1">BK15/(1+Param.Inflationsrate)^(A15-Param.Startjahr)</f>
        <v>554833.131848851568</v>
      </c>
      <c r="BM15" s="52" t="str">
        <f>IF(BK15&lt;N15,A15,"")</f>
        <v/>
      </c>
      <c r="BN15" s="40">
        <f>AH15+BC15</f>
        <v>0</v>
      </c>
      <c r="BO15" s="40">
        <f>SUM(AR15:BB15)</f>
        <v>3898.28414026109022</v>
      </c>
      <c r="BP15" s="40">
        <f>BN15+(-1*BO15)</f>
        <v>-3898.28414026109022</v>
      </c>
      <c r="BQ15" s="40">
        <f>AI15+BH15</f>
        <v>489.871283646165011</v>
      </c>
      <c r="BR15" s="5">
        <f>IF(BK15&gt;0,BP15/BK15,0)</f>
        <v>-0.00548873736090136877</v>
      </c>
    </row>
    <row r="16" spans="1:70">
      <c r="A16">
        <f>A15+1</f>
        <v>2037</v>
      </c>
      <c r="B16">
        <f>B5+(12-1)</f>
        <v>41</v>
      </c>
      <c r="C16" s="10">
        <f aca="1">IF(A16&lt;Param.FireStartjahr,0,Param.EntnahmeBetragStart*(1+Param.Inflationsrate)^(A16-Param.Startjahr))</f>
        <v>0</v>
      </c>
      <c r="D16" s="40">
        <f aca="1">IF(OR($A16&lt;Param.SonstigRegelmJahrBeginn1,$A16&gt;Param.SonstigRegelmJahrEnd1),0,Param.SonstigRegelmBetragJaehrl1*(1+Param.SonstigRegelmSteig1)^(A16-Param.SonstigRegelmJahrBeginn1))</f>
        <v>0</v>
      </c>
      <c r="E16" s="40">
        <f aca="1">IF(OR($A16&lt;Param.SonstigRegelmJahrBeginn2,$A16&gt;Param.SonstigRegelmJahrEnd2),0,Param.SonstigRegelmBetragJaehrl2*(1+Param.SonstigRegelmSteig2)^($A16-Param.SonstigRegelmJahrBeginn2))</f>
        <v>0</v>
      </c>
      <c r="F16" s="40">
        <f aca="1">IF(OR($A16&lt;Param.SonstigRegelmJahrBeginn3,$A16&gt;Param.SonstigRegelmJahrEnd3),0,Param.SonstigRegelmBetragJaehrl3*(1+Param.SonstigRegelmSteig3)^($A16-Param.SonstigRegelmJahrBeginn3))</f>
        <v>3937.26698166369579</v>
      </c>
      <c r="G16" s="40">
        <f aca="1">IF(OR($A16&lt;Param.SonstigRegelmJahrBeginn4,$A16&gt;Param.SonstigRegelmJahrEnd4),0,Param.SonstigRegelmBetragJaehrl4*(1+Param.SonstigRegelmSteig4)^($A16-Param.SonstigRegelmJahrBeginn4))</f>
        <v>0</v>
      </c>
      <c r="H16" s="40">
        <f aca="1">IF(OR($A16&lt;Param.SonstigRegelmJahrBeginn5,$A16&gt;Param.SonstigRegelmJahrEnd5),0,Param.SonstigRegelmBetragJaehrl5*(1+Param.SonstigRegelmSteig5)^($A16-Param.SonstigRegelmJahrBeginn5))</f>
        <v>0</v>
      </c>
      <c r="I16" s="40">
        <f aca="1">IF(OR($A16&lt;Param.SonstigRegelmJahrBeginn6,$A16&gt;Param.SonstigRegelmJahrEnd6),0,Param.SonstigRegelmBetragJaehrl6*(1+Param.SonstigRegelmSteig6)^($A16-Param.SonstigRegelmJahrBeginn6))</f>
        <v>0</v>
      </c>
      <c r="J16" s="40">
        <f aca="1">IF(OR($A16&lt;Param.SonstigRegelmJahrBeginn7,$A16&gt;Param.SonstigRegelmJahrEnd7),0,Param.SonstigRegelmBetragJaehrl7*(1+Param.SonstigRegelmSteig7)^($A16-Param.SonstigRegelmJahrBeginn7))</f>
        <v>0</v>
      </c>
      <c r="K16" s="40">
        <f aca="1">IF(OR($A16&lt;Param.SonstigRegelmJahrBeginn8,$A16&gt;Param.SonstigRegelmJahrEnd8),0,Param.SonstigRegelmBetragJaehrl8*(1+Param.SonstigRegelmSteig8)^($A16-Param.SonstigRegelmJahrBeginn8))</f>
        <v>0</v>
      </c>
      <c r="L16" s="40">
        <f aca="1">IF(OR($A16&lt;Param.SonstigRegelmJahrBeginn9,$A16&gt;Param.SonstigRegelmJahrEnd9),0,Param.SonstigRegelmBetragJaehrl9*(1+Param.SonstigRegelmSteig9)^($A16-Param.SonstigRegelmJahrBeginn9))</f>
        <v>0</v>
      </c>
      <c r="M16" s="40">
        <f aca="1">IF(OR($A16&lt;Param.SonstigRegelmJahrBeginn10,$A16&gt;Param.SonstigRegelmJahrEnd10),0,Param.SonstigRegelmBetragJaehrl10*(1+Param.SonstigRegelmSteig10)^($A16-Param.SonstigRegelmJahrBeginn10))</f>
        <v>0</v>
      </c>
      <c r="N16" s="10">
        <f>MAX(0,C16-SUM(D16:M16))</f>
        <v>0</v>
      </c>
      <c r="O16" s="10">
        <f>IF(N16&lt;=0,SUM(D16:M16)-C16,0)</f>
        <v>3937.26698166369988</v>
      </c>
      <c r="P16" s="10">
        <f>S16+AP16</f>
        <v>710233.316687776009</v>
      </c>
      <c r="Q16" s="11">
        <f>IF(P16&gt;0,S16/P16,0)</f>
        <v>0.790023453856864499</v>
      </c>
      <c r="R16" s="11">
        <f>IF(P16&gt;0,AP16/P16,0)</f>
        <v>0.20997654614313559</v>
      </c>
      <c r="S16" s="10">
        <f>AL15</f>
        <v>561100.977893892908</v>
      </c>
      <c r="T16" s="40">
        <f>AM15</f>
        <v>317600.977893893025</v>
      </c>
      <c r="U16" s="40">
        <f aca="1">IF(A16&lt;Param.FireStartjahr,Param.SparrateDepotMonatl*12*(1+Param.SparrateDynamikJaehrl)^($A16-Param.Startjahr),0)</f>
        <v>6000</v>
      </c>
      <c r="V16" s="40">
        <f aca="1">IF(AND(Param.SonstigEinmaligKonto1="Depot",$A16=Param.SonstigEinmaligJahr1),Param.SonstigEinmaligBetrag1,0)</f>
        <v>0</v>
      </c>
      <c r="W16" s="40">
        <f aca="1">IF(AND(Param.SonstigEinmaligKonto2="Depot",$A16=Param.SonstigEinmaligJahr2),Param.SonstigEinmaligBetrag2,0)</f>
        <v>0</v>
      </c>
      <c r="X16" s="40">
        <f aca="1">IF(AND(Param.SonstigEinmaligKonto3="Depot",$A16=Param.SonstigEinmaligJahr3),Param.SonstigEinmaligBetrag3,0)</f>
        <v>0</v>
      </c>
      <c r="Y16" s="40">
        <f aca="1">IF(AND(Param.SonstigEinmaligKonto4="Depot",$A16=Param.SonstigEinmaligJahr4),Param.SonstigEinmaligBetrag4,0)</f>
        <v>0</v>
      </c>
      <c r="Z16" s="40">
        <f aca="1">IF(AND(Param.SonstigEinmaligKonto5="Depot",$A16=Param.SonstigEinmaligJahr5),Param.SonstigEinmaligBetrag5,0)</f>
        <v>0</v>
      </c>
      <c r="AA16" s="40">
        <f aca="1">IF(AND(Param.SonstigEinmaligKonto6="Depot",$A16=Param.SonstigEinmaligJahr6),Param.SonstigEinmaligBetrag6,0)</f>
        <v>0</v>
      </c>
      <c r="AB16" s="40">
        <f aca="1">IF(AND(Param.SonstigEinmaligKonto7="Depot",$A16=Param.SonstigEinmaligJahr7),Param.SonstigEinmaligBetrag7,0)</f>
        <v>0</v>
      </c>
      <c r="AC16" s="40">
        <f aca="1">IF(AND(Param.SonstigEinmaligKonto8="Depot",$A16=Param.SonstigEinmaligJahr8),Param.SonstigEinmaligBetrag8,0)</f>
        <v>0</v>
      </c>
      <c r="AD16" s="40">
        <f aca="1">IF(AND(Param.SonstigEinmaligKonto9="Depot",$A16=Param.SonstigEinmaligJahr9),Param.SonstigEinmaligBetrag9,0)</f>
        <v>0</v>
      </c>
      <c r="AE16" s="40">
        <f aca="1">IF(AND(Param.SonstigEinmaligKonto10="Depot",$A16=Param.SonstigEinmaligJahr10),Param.SonstigEinmaligBetrag10,0)</f>
        <v>0</v>
      </c>
      <c r="AF16" s="40">
        <f aca="1">Param.SparerPauschbetrag-BF16</f>
        <v>0</v>
      </c>
      <c r="AG16" s="40">
        <f aca="1">IF(AND(A16&gt;=Param.FireStartjahr,S16&gt;0),MIN(N16*Q16,S16),0)</f>
        <v>0</v>
      </c>
      <c r="AH16" s="40">
        <f aca="1">IF(AG16&lt;=0,0,IF(S16&lt;=0,0,AG16/(1-MAX(0,((T16/S16)*(1-Param.Teilfreistellung)-MIN(AF16,AG16)/AG16)*Param.KapSt))))</f>
        <v>0</v>
      </c>
      <c r="AI16" s="40">
        <f>AH16-AG16</f>
        <v>0</v>
      </c>
      <c r="AJ16" s="40">
        <f>T16-AH16*(T16/S16)</f>
        <v>317600.977893893025</v>
      </c>
      <c r="AK16" s="40">
        <f>S16-AH16</f>
        <v>561100.977893893025</v>
      </c>
      <c r="AL16" s="40">
        <f>FV(AO16,12,-(U16/12),-AK16,0)</f>
        <v>600930.300738523132</v>
      </c>
      <c r="AM16" s="40">
        <f>AJ16+AL16-AK16-U16</f>
        <v>351430.300738523016</v>
      </c>
      <c r="AN16" s="5">
        <f>AM16/AL16</f>
        <v>0.584810418623635808</v>
      </c>
      <c r="AO16" s="5">
        <f aca="1">(1+IF(AND(A16&gt;=Param.DepotRenditeSpezBeginn1,A16&lt;=Param.DepotRenditeSpezEnde1),Param.DepotRenditeSpezProz1,IF(AND(A16&gt;=Param.DepotRenditeSpezBeginn2,A16&lt;=Param.DepotRenditeSpezEnde2),Param.DepotRenditeSpezProz2,IF(AND(A16&gt;=Param.DepotRenditeSpezBeginn3,A16&lt;=Param.DepotRenditeSpezEnde3),Param.DepotRenditeSpezProz3,IF(AND(A16&gt;=Param.DepotRenditeSpezBeginn4,A16&lt;=Param.DepotRenditeSpezEnde4),Param.DepotRenditeSpezProz4,IF(AND(A16&gt;=Param.DepotRenditeSpezBeginn5,A16&lt;=Param.DepotRenditeSpezEnde5),Param.DepotRenditeSpezProz5,Param.DepotRenditeDefault))))))^(1/12)-1</f>
        <v>0.00486755056533993979</v>
      </c>
      <c r="AP16" s="40">
        <f>BJ15</f>
        <v>149132.338793882751</v>
      </c>
      <c r="AQ16" s="40">
        <f aca="1">IF(A16&lt;Param.FireStartjahr,Param.SparrateFestgeldMonatl*12*(1+Param.SparrateDynamikJaehrl)^($A16-Param.Startjahr),0)</f>
        <v>1800</v>
      </c>
      <c r="AR16" s="40">
        <f>O16</f>
        <v>3937.26698166369988</v>
      </c>
      <c r="AS16" s="40">
        <f aca="1">IF(AND(Param.SonstigEinmaligKonto1="Festgeld",$A16=Param.SonstigEinmaligJahr1),Param.SonstigEinmaligBetrag1,0)</f>
        <v>0</v>
      </c>
      <c r="AT16" s="40">
        <f aca="1">IF(AND(Param.SonstigEinmaligKonto2="Festgeld",$A16=Param.SonstigEinmaligJahr2),Param.SonstigEinmaligBetrag2,0)</f>
        <v>0</v>
      </c>
      <c r="AU16" s="40">
        <f aca="1">IF(AND(Param.SonstigEinmaligKonto3="Festgeld",$A16=Param.SonstigEinmaligJahr3),Param.SonstigEinmaligBetrag3,0)</f>
        <v>0</v>
      </c>
      <c r="AV16" s="40">
        <f aca="1">IF(AND(Param.SonstigEinmaligKonto4="Festgeld",$A16=Param.SonstigEinmaligJahr4),Param.SonstigEinmaligBetrag4,0)</f>
        <v>0</v>
      </c>
      <c r="AW16" s="40">
        <f aca="1">IF(AND(Param.SonstigEinmaligKonto5="Festgeld",$A16=Param.SonstigEinmaligJahr5),Param.SonstigEinmaligBetrag5,0)</f>
        <v>0</v>
      </c>
      <c r="AX16" s="40">
        <f aca="1">IF(AND(Param.SonstigEinmaligKonto6="Festgeld",$A16=Param.SonstigEinmaligJahr6),Param.SonstigEinmaligBetrag6,0)</f>
        <v>0</v>
      </c>
      <c r="AY16" s="40">
        <f aca="1">IF(AND(Param.SonstigEinmaligKonto7="Festgeld",$A16=Param.SonstigEinmaligJahr7),Param.SonstigEinmaligBetrag7,0)</f>
        <v>0</v>
      </c>
      <c r="AZ16" s="40">
        <f aca="1">IF(AND(Param.SonstigEinmaligKonto8="Festgeld",$A16=Param.SonstigEinmaligJahr8),Param.SonstigEinmaligBetrag8,0)</f>
        <v>0</v>
      </c>
      <c r="BA16" s="40">
        <f aca="1">IF(AND(Param.SonstigEinmaligKonto9="Festgeld",$A16=Param.SonstigEinmaligJahr9),Param.SonstigEinmaligBetrag9,0)</f>
        <v>0</v>
      </c>
      <c r="BB16" s="40">
        <f aca="1">IF(AND(Param.SonstigEinmaligKonto10="Festgeld",$A16=Param.SonstigEinmaligJahr10),Param.SonstigEinmaligBetrag10,0)</f>
        <v>0</v>
      </c>
      <c r="BC16" s="40">
        <f aca="1">IF(AND(A16&gt;=Param.FireStartjahr,AP16&gt;0),MIN(N16*R16,AP16),0)</f>
        <v>0</v>
      </c>
      <c r="BD16" s="5">
        <f aca="1">Param.FestgeldZinssatz</f>
        <v>0.02</v>
      </c>
      <c r="BE16" s="40">
        <f>(AP16+AQ16-BC16)*BD16</f>
        <v>3018.64677587766028</v>
      </c>
      <c r="BF16" s="40">
        <f aca="1">IF(BE16&gt;Param.SparerPauschbetrag,Param.SparerPauschbetrag,BE16)</f>
        <v>1000</v>
      </c>
      <c r="BG16" s="40">
        <f>BE16-BF16</f>
        <v>2018.64677587765982</v>
      </c>
      <c r="BH16" s="40">
        <f aca="1">BG16*Param.KapSt</f>
        <v>532.418087137732755</v>
      </c>
      <c r="BI16" s="40">
        <f>BE16-BH16</f>
        <v>2486.22868873992684</v>
      </c>
      <c r="BJ16" s="63">
        <f>AP16+SUM(AQ16:BB16)-BC16+BI16</f>
        <v>157355.834464286949</v>
      </c>
      <c r="BK16" s="40">
        <f>AL16+BJ16</f>
        <v>758286.135202810052</v>
      </c>
      <c r="BL16" s="40">
        <f aca="1">BK16/(1+Param.Inflationsrate)^(A16-Param.Startjahr)</f>
        <v>577923.82133776776</v>
      </c>
      <c r="BM16" s="52" t="str">
        <f>IF(BK16&lt;N16,A16,"")</f>
        <v/>
      </c>
      <c r="BN16" s="40">
        <f>AH16+BC16</f>
        <v>0</v>
      </c>
      <c r="BO16" s="40">
        <f>SUM(AR16:BB16)</f>
        <v>3937.26698166369988</v>
      </c>
      <c r="BP16" s="40">
        <f>BN16+(-1*BO16)</f>
        <v>-3937.26698166369988</v>
      </c>
      <c r="BQ16" s="40">
        <f>AI16+BH16</f>
        <v>532.418087137732982</v>
      </c>
      <c r="BR16" s="5">
        <f>IF(BK16&gt;0,BP16/BK16,0)</f>
        <v>-0.00519232358192945753</v>
      </c>
    </row>
    <row r="17" spans="1:70">
      <c r="A17">
        <f>A16+1</f>
        <v>2038</v>
      </c>
      <c r="B17">
        <f>B5+(13-1)</f>
        <v>42</v>
      </c>
      <c r="C17" s="10">
        <f aca="1">IF(A17&lt;Param.FireStartjahr,0,Param.EntnahmeBetragStart*(1+Param.Inflationsrate)^(A17-Param.Startjahr))</f>
        <v>0</v>
      </c>
      <c r="D17" s="40">
        <f aca="1">IF(OR($A17&lt;Param.SonstigRegelmJahrBeginn1,$A17&gt;Param.SonstigRegelmJahrEnd1),0,Param.SonstigRegelmBetragJaehrl1*(1+Param.SonstigRegelmSteig1)^(A17-Param.SonstigRegelmJahrBeginn1))</f>
        <v>0</v>
      </c>
      <c r="E17" s="40">
        <f aca="1">IF(OR($A17&lt;Param.SonstigRegelmJahrBeginn2,$A17&gt;Param.SonstigRegelmJahrEnd2),0,Param.SonstigRegelmBetragJaehrl2*(1+Param.SonstigRegelmSteig2)^($A17-Param.SonstigRegelmJahrBeginn2))</f>
        <v>0</v>
      </c>
      <c r="F17" s="40">
        <f aca="1">IF(OR($A17&lt;Param.SonstigRegelmJahrBeginn3,$A17&gt;Param.SonstigRegelmJahrEnd3),0,Param.SonstigRegelmBetragJaehrl3*(1+Param.SonstigRegelmSteig3)^($A17-Param.SonstigRegelmJahrBeginn3))</f>
        <v>3976.63965148032048</v>
      </c>
      <c r="G17" s="40">
        <f aca="1">IF(OR($A17&lt;Param.SonstigRegelmJahrBeginn4,$A17&gt;Param.SonstigRegelmJahrEnd4),0,Param.SonstigRegelmBetragJaehrl4*(1+Param.SonstigRegelmSteig4)^($A17-Param.SonstigRegelmJahrBeginn4))</f>
        <v>0</v>
      </c>
      <c r="H17" s="40">
        <f aca="1">IF(OR($A17&lt;Param.SonstigRegelmJahrBeginn5,$A17&gt;Param.SonstigRegelmJahrEnd5),0,Param.SonstigRegelmBetragJaehrl5*(1+Param.SonstigRegelmSteig5)^($A17-Param.SonstigRegelmJahrBeginn5))</f>
        <v>0</v>
      </c>
      <c r="I17" s="40">
        <f aca="1">IF(OR($A17&lt;Param.SonstigRegelmJahrBeginn6,$A17&gt;Param.SonstigRegelmJahrEnd6),0,Param.SonstigRegelmBetragJaehrl6*(1+Param.SonstigRegelmSteig6)^($A17-Param.SonstigRegelmJahrBeginn6))</f>
        <v>0</v>
      </c>
      <c r="J17" s="40">
        <f aca="1">IF(OR($A17&lt;Param.SonstigRegelmJahrBeginn7,$A17&gt;Param.SonstigRegelmJahrEnd7),0,Param.SonstigRegelmBetragJaehrl7*(1+Param.SonstigRegelmSteig7)^($A17-Param.SonstigRegelmJahrBeginn7))</f>
        <v>0</v>
      </c>
      <c r="K17" s="40">
        <f aca="1">IF(OR($A17&lt;Param.SonstigRegelmJahrBeginn8,$A17&gt;Param.SonstigRegelmJahrEnd8),0,Param.SonstigRegelmBetragJaehrl8*(1+Param.SonstigRegelmSteig8)^($A17-Param.SonstigRegelmJahrBeginn8))</f>
        <v>0</v>
      </c>
      <c r="L17" s="40">
        <f aca="1">IF(OR($A17&lt;Param.SonstigRegelmJahrBeginn9,$A17&gt;Param.SonstigRegelmJahrEnd9),0,Param.SonstigRegelmBetragJaehrl9*(1+Param.SonstigRegelmSteig9)^($A17-Param.SonstigRegelmJahrBeginn9))</f>
        <v>0</v>
      </c>
      <c r="M17" s="40">
        <f aca="1">IF(OR($A17&lt;Param.SonstigRegelmJahrBeginn10,$A17&gt;Param.SonstigRegelmJahrEnd10),0,Param.SonstigRegelmBetragJaehrl10*(1+Param.SonstigRegelmSteig10)^($A17-Param.SonstigRegelmJahrBeginn10))</f>
        <v>0</v>
      </c>
      <c r="N17" s="10">
        <f>MAX(0,C17-SUM(D17:M17))</f>
        <v>0</v>
      </c>
      <c r="O17" s="10">
        <f>IF(N17&lt;=0,SUM(D17:M17)-C17,0)</f>
        <v>3976.63965148032003</v>
      </c>
      <c r="P17" s="10">
        <f>S17+AP17</f>
        <v>758286.135202810052</v>
      </c>
      <c r="Q17" s="11">
        <f>IF(P17&gt;0,S17/P17,0)</f>
        <v>0.792484885112397652</v>
      </c>
      <c r="R17" s="11">
        <f>IF(P17&gt;0,AP17/P17,0)</f>
        <v>0.207515114887602259</v>
      </c>
      <c r="S17" s="10">
        <f>AL16</f>
        <v>600930.300738523132</v>
      </c>
      <c r="T17" s="40">
        <f>AM16</f>
        <v>351430.300738523016</v>
      </c>
      <c r="U17" s="40">
        <f aca="1">IF(A17&lt;Param.FireStartjahr,Param.SparrateDepotMonatl*12*(1+Param.SparrateDynamikJaehrl)^($A17-Param.Startjahr),0)</f>
        <v>6000</v>
      </c>
      <c r="V17" s="40">
        <f aca="1">IF(AND(Param.SonstigEinmaligKonto1="Depot",$A17=Param.SonstigEinmaligJahr1),Param.SonstigEinmaligBetrag1,0)</f>
        <v>0</v>
      </c>
      <c r="W17" s="40">
        <f aca="1">IF(AND(Param.SonstigEinmaligKonto2="Depot",$A17=Param.SonstigEinmaligJahr2),Param.SonstigEinmaligBetrag2,0)</f>
        <v>0</v>
      </c>
      <c r="X17" s="40">
        <f aca="1">IF(AND(Param.SonstigEinmaligKonto3="Depot",$A17=Param.SonstigEinmaligJahr3),Param.SonstigEinmaligBetrag3,0)</f>
        <v>0</v>
      </c>
      <c r="Y17" s="40">
        <f aca="1">IF(AND(Param.SonstigEinmaligKonto4="Depot",$A17=Param.SonstigEinmaligJahr4),Param.SonstigEinmaligBetrag4,0)</f>
        <v>0</v>
      </c>
      <c r="Z17" s="40">
        <f aca="1">IF(AND(Param.SonstigEinmaligKonto5="Depot",$A17=Param.SonstigEinmaligJahr5),Param.SonstigEinmaligBetrag5,0)</f>
        <v>0</v>
      </c>
      <c r="AA17" s="40">
        <f aca="1">IF(AND(Param.SonstigEinmaligKonto6="Depot",$A17=Param.SonstigEinmaligJahr6),Param.SonstigEinmaligBetrag6,0)</f>
        <v>0</v>
      </c>
      <c r="AB17" s="40">
        <f aca="1">IF(AND(Param.SonstigEinmaligKonto7="Depot",$A17=Param.SonstigEinmaligJahr7),Param.SonstigEinmaligBetrag7,0)</f>
        <v>0</v>
      </c>
      <c r="AC17" s="40">
        <f aca="1">IF(AND(Param.SonstigEinmaligKonto8="Depot",$A17=Param.SonstigEinmaligJahr8),Param.SonstigEinmaligBetrag8,0)</f>
        <v>0</v>
      </c>
      <c r="AD17" s="40">
        <f aca="1">IF(AND(Param.SonstigEinmaligKonto9="Depot",$A17=Param.SonstigEinmaligJahr9),Param.SonstigEinmaligBetrag9,0)</f>
        <v>0</v>
      </c>
      <c r="AE17" s="40">
        <f aca="1">IF(AND(Param.SonstigEinmaligKonto10="Depot",$A17=Param.SonstigEinmaligJahr10),Param.SonstigEinmaligBetrag10,0)</f>
        <v>0</v>
      </c>
      <c r="AF17" s="40">
        <f aca="1">Param.SparerPauschbetrag-BF17</f>
        <v>0</v>
      </c>
      <c r="AG17" s="40">
        <f aca="1">IF(AND(A17&gt;=Param.FireStartjahr,S17&gt;0),MIN(N17*Q17,S17),0)</f>
        <v>0</v>
      </c>
      <c r="AH17" s="40">
        <f aca="1">IF(AG17&lt;=0,0,IF(S17&lt;=0,0,AG17/(1-MAX(0,((T17/S17)*(1-Param.Teilfreistellung)-MIN(AF17,AG17)/AG17)*Param.KapSt))))</f>
        <v>0</v>
      </c>
      <c r="AI17" s="40">
        <f>AH17-AG17</f>
        <v>0</v>
      </c>
      <c r="AJ17" s="40">
        <f>T17-AH17*(T17/S17)</f>
        <v>351430.300738523016</v>
      </c>
      <c r="AK17" s="40">
        <f>S17-AH17</f>
        <v>600930.300738523016</v>
      </c>
      <c r="AL17" s="40">
        <f>FV(AO17,12,-(U17/12),-AK17,0)</f>
        <v>643149.382953829365</v>
      </c>
      <c r="AM17" s="40">
        <f>AJ17+AL17-AK17-U17</f>
        <v>387649.382953829016</v>
      </c>
      <c r="AN17" s="5">
        <f>AM17/AL17</f>
        <v>0.602736149995899062</v>
      </c>
      <c r="AO17" s="5">
        <f aca="1">(1+IF(AND(A17&gt;=Param.DepotRenditeSpezBeginn1,A17&lt;=Param.DepotRenditeSpezEnde1),Param.DepotRenditeSpezProz1,IF(AND(A17&gt;=Param.DepotRenditeSpezBeginn2,A17&lt;=Param.DepotRenditeSpezEnde2),Param.DepotRenditeSpezProz2,IF(AND(A17&gt;=Param.DepotRenditeSpezBeginn3,A17&lt;=Param.DepotRenditeSpezEnde3),Param.DepotRenditeSpezProz3,IF(AND(A17&gt;=Param.DepotRenditeSpezBeginn4,A17&lt;=Param.DepotRenditeSpezEnde4),Param.DepotRenditeSpezProz4,IF(AND(A17&gt;=Param.DepotRenditeSpezBeginn5,A17&lt;=Param.DepotRenditeSpezEnde5),Param.DepotRenditeSpezProz5,Param.DepotRenditeDefault))))))^(1/12)-1</f>
        <v>0.00486755056533993979</v>
      </c>
      <c r="AP17" s="40">
        <f>BJ16</f>
        <v>157355.834464286949</v>
      </c>
      <c r="AQ17" s="40">
        <f aca="1">IF(A17&lt;Param.FireStartjahr,Param.SparrateFestgeldMonatl*12*(1+Param.SparrateDynamikJaehrl)^($A17-Param.Startjahr),0)</f>
        <v>1800</v>
      </c>
      <c r="AR17" s="40">
        <f>O17</f>
        <v>3976.63965148032003</v>
      </c>
      <c r="AS17" s="40">
        <f aca="1">IF(AND(Param.SonstigEinmaligKonto1="Festgeld",$A17=Param.SonstigEinmaligJahr1),Param.SonstigEinmaligBetrag1,0)</f>
        <v>0</v>
      </c>
      <c r="AT17" s="40">
        <f aca="1">IF(AND(Param.SonstigEinmaligKonto2="Festgeld",$A17=Param.SonstigEinmaligJahr2),Param.SonstigEinmaligBetrag2,0)</f>
        <v>0</v>
      </c>
      <c r="AU17" s="40">
        <f aca="1">IF(AND(Param.SonstigEinmaligKonto3="Festgeld",$A17=Param.SonstigEinmaligJahr3),Param.SonstigEinmaligBetrag3,0)</f>
        <v>0</v>
      </c>
      <c r="AV17" s="40">
        <f aca="1">IF(AND(Param.SonstigEinmaligKonto4="Festgeld",$A17=Param.SonstigEinmaligJahr4),Param.SonstigEinmaligBetrag4,0)</f>
        <v>0</v>
      </c>
      <c r="AW17" s="40">
        <f aca="1">IF(AND(Param.SonstigEinmaligKonto5="Festgeld",$A17=Param.SonstigEinmaligJahr5),Param.SonstigEinmaligBetrag5,0)</f>
        <v>0</v>
      </c>
      <c r="AX17" s="40">
        <f aca="1">IF(AND(Param.SonstigEinmaligKonto6="Festgeld",$A17=Param.SonstigEinmaligJahr6),Param.SonstigEinmaligBetrag6,0)</f>
        <v>0</v>
      </c>
      <c r="AY17" s="40">
        <f aca="1">IF(AND(Param.SonstigEinmaligKonto7="Festgeld",$A17=Param.SonstigEinmaligJahr7),Param.SonstigEinmaligBetrag7,0)</f>
        <v>0</v>
      </c>
      <c r="AZ17" s="40">
        <f aca="1">IF(AND(Param.SonstigEinmaligKonto8="Festgeld",$A17=Param.SonstigEinmaligJahr8),Param.SonstigEinmaligBetrag8,0)</f>
        <v>0</v>
      </c>
      <c r="BA17" s="40">
        <f aca="1">IF(AND(Param.SonstigEinmaligKonto9="Festgeld",$A17=Param.SonstigEinmaligJahr9),Param.SonstigEinmaligBetrag9,0)</f>
        <v>0</v>
      </c>
      <c r="BB17" s="40">
        <f aca="1">IF(AND(Param.SonstigEinmaligKonto10="Festgeld",$A17=Param.SonstigEinmaligJahr10),Param.SonstigEinmaligBetrag10,0)</f>
        <v>0</v>
      </c>
      <c r="BC17" s="40">
        <f aca="1">IF(AND(A17&gt;=Param.FireStartjahr,AP17&gt;0),MIN(N17*R17,AP17),0)</f>
        <v>0</v>
      </c>
      <c r="BD17" s="5">
        <f aca="1">Param.FestgeldZinssatz</f>
        <v>0.02</v>
      </c>
      <c r="BE17" s="40">
        <f>(AP17+AQ17-BC17)*BD17</f>
        <v>3183.11668928573999</v>
      </c>
      <c r="BF17" s="40">
        <f aca="1">IF(BE17&gt;Param.SparerPauschbetrag,Param.SparerPauschbetrag,BE17)</f>
        <v>1000</v>
      </c>
      <c r="BG17" s="40">
        <f>BE17-BF17</f>
        <v>2183.11668928573999</v>
      </c>
      <c r="BH17" s="40">
        <f aca="1">BG17*Param.KapSt</f>
        <v>575.797026799113837</v>
      </c>
      <c r="BI17" s="40">
        <f>BE17-BH17</f>
        <v>2607.31966248662593</v>
      </c>
      <c r="BJ17" s="63">
        <f>AP17+SUM(AQ17:BB17)-BC17+BI17</f>
        <v>165739.793778253632</v>
      </c>
      <c r="BK17" s="40">
        <f>AL17+BJ17</f>
        <v>808889.176732083084</v>
      </c>
      <c r="BL17" s="40">
        <f aca="1">BK17/(1+Param.Inflationsrate)^(A17-Param.Startjahr)</f>
        <v>601454.307708593784</v>
      </c>
      <c r="BM17" s="52" t="str">
        <f>IF(BK17&lt;N17,A17,"")</f>
        <v/>
      </c>
      <c r="BN17" s="40">
        <f>AH17+BC17</f>
        <v>0</v>
      </c>
      <c r="BO17" s="40">
        <f>SUM(AR17:BB17)</f>
        <v>3976.63965148032003</v>
      </c>
      <c r="BP17" s="40">
        <f>BN17+(-1*BO17)</f>
        <v>-3976.63965148032003</v>
      </c>
      <c r="BQ17" s="40">
        <f>AI17+BH17</f>
        <v>575.797026799113951</v>
      </c>
      <c r="BR17" s="5">
        <f>IF(BK17&gt;0,BP17/BK17,0)</f>
        <v>-0.00491617364389268641</v>
      </c>
    </row>
    <row r="18" spans="1:70">
      <c r="A18">
        <f>A17+1</f>
        <v>2039</v>
      </c>
      <c r="B18">
        <f>B5+(14-1)</f>
        <v>43</v>
      </c>
      <c r="C18" s="10">
        <f aca="1">IF(A18&lt;Param.FireStartjahr,0,Param.EntnahmeBetragStart*(1+Param.Inflationsrate)^(A18-Param.Startjahr))</f>
        <v>0</v>
      </c>
      <c r="D18" s="40">
        <f aca="1">IF(OR($A18&lt;Param.SonstigRegelmJahrBeginn1,$A18&gt;Param.SonstigRegelmJahrEnd1),0,Param.SonstigRegelmBetragJaehrl1*(1+Param.SonstigRegelmSteig1)^(A18-Param.SonstigRegelmJahrBeginn1))</f>
        <v>0</v>
      </c>
      <c r="E18" s="40">
        <f aca="1">IF(OR($A18&lt;Param.SonstigRegelmJahrBeginn2,$A18&gt;Param.SonstigRegelmJahrEnd2),0,Param.SonstigRegelmBetragJaehrl2*(1+Param.SonstigRegelmSteig2)^($A18-Param.SonstigRegelmJahrBeginn2))</f>
        <v>0</v>
      </c>
      <c r="F18" s="40">
        <f aca="1">IF(OR($A18&lt;Param.SonstigRegelmJahrBeginn3,$A18&gt;Param.SonstigRegelmJahrEnd3),0,Param.SonstigRegelmBetragJaehrl3*(1+Param.SonstigRegelmSteig3)^($A18-Param.SonstigRegelmJahrBeginn3))</f>
        <v>4016.40604799515222</v>
      </c>
      <c r="G18" s="40">
        <f aca="1">IF(OR($A18&lt;Param.SonstigRegelmJahrBeginn4,$A18&gt;Param.SonstigRegelmJahrEnd4),0,Param.SonstigRegelmBetragJaehrl4*(1+Param.SonstigRegelmSteig4)^($A18-Param.SonstigRegelmJahrBeginn4))</f>
        <v>0</v>
      </c>
      <c r="H18" s="40">
        <f aca="1">IF(OR($A18&lt;Param.SonstigRegelmJahrBeginn5,$A18&gt;Param.SonstigRegelmJahrEnd5),0,Param.SonstigRegelmBetragJaehrl5*(1+Param.SonstigRegelmSteig5)^($A18-Param.SonstigRegelmJahrBeginn5))</f>
        <v>0</v>
      </c>
      <c r="I18" s="40">
        <f aca="1">IF(OR($A18&lt;Param.SonstigRegelmJahrBeginn6,$A18&gt;Param.SonstigRegelmJahrEnd6),0,Param.SonstigRegelmBetragJaehrl6*(1+Param.SonstigRegelmSteig6)^($A18-Param.SonstigRegelmJahrBeginn6))</f>
        <v>0</v>
      </c>
      <c r="J18" s="40">
        <f aca="1">IF(OR($A18&lt;Param.SonstigRegelmJahrBeginn7,$A18&gt;Param.SonstigRegelmJahrEnd7),0,Param.SonstigRegelmBetragJaehrl7*(1+Param.SonstigRegelmSteig7)^($A18-Param.SonstigRegelmJahrBeginn7))</f>
        <v>0</v>
      </c>
      <c r="K18" s="40">
        <f aca="1">IF(OR($A18&lt;Param.SonstigRegelmJahrBeginn8,$A18&gt;Param.SonstigRegelmJahrEnd8),0,Param.SonstigRegelmBetragJaehrl8*(1+Param.SonstigRegelmSteig8)^($A18-Param.SonstigRegelmJahrBeginn8))</f>
        <v>0</v>
      </c>
      <c r="L18" s="40">
        <f aca="1">IF(OR($A18&lt;Param.SonstigRegelmJahrBeginn9,$A18&gt;Param.SonstigRegelmJahrEnd9),0,Param.SonstigRegelmBetragJaehrl9*(1+Param.SonstigRegelmSteig9)^($A18-Param.SonstigRegelmJahrBeginn9))</f>
        <v>0</v>
      </c>
      <c r="M18" s="40">
        <f aca="1">IF(OR($A18&lt;Param.SonstigRegelmJahrBeginn10,$A18&gt;Param.SonstigRegelmJahrEnd10),0,Param.SonstigRegelmBetragJaehrl10*(1+Param.SonstigRegelmSteig10)^($A18-Param.SonstigRegelmJahrBeginn10))</f>
        <v>0</v>
      </c>
      <c r="N18" s="10">
        <f>MAX(0,C18-SUM(D18:M18))</f>
        <v>0</v>
      </c>
      <c r="O18" s="10">
        <f>IF(N18&lt;=0,SUM(D18:M18)-C18,0)</f>
        <v>4016.40604799514995</v>
      </c>
      <c r="P18" s="10">
        <f>S18+AP18</f>
        <v>808889.176732083084</v>
      </c>
      <c r="Q18" s="11">
        <f>IF(P18&gt;0,S18/P18,0)</f>
        <v>0.795101976209097394</v>
      </c>
      <c r="R18" s="11">
        <f>IF(P18&gt;0,AP18/P18,0)</f>
        <v>0.20489802379090265</v>
      </c>
      <c r="S18" s="10">
        <f>AL17</f>
        <v>643149.382953829365</v>
      </c>
      <c r="T18" s="40">
        <f>AM17</f>
        <v>387649.382953829016</v>
      </c>
      <c r="U18" s="40">
        <f aca="1">IF(A18&lt;Param.FireStartjahr,Param.SparrateDepotMonatl*12*(1+Param.SparrateDynamikJaehrl)^($A18-Param.Startjahr),0)</f>
        <v>6000</v>
      </c>
      <c r="V18" s="40">
        <f aca="1">IF(AND(Param.SonstigEinmaligKonto1="Depot",$A18=Param.SonstigEinmaligJahr1),Param.SonstigEinmaligBetrag1,0)</f>
        <v>0</v>
      </c>
      <c r="W18" s="40">
        <f aca="1">IF(AND(Param.SonstigEinmaligKonto2="Depot",$A18=Param.SonstigEinmaligJahr2),Param.SonstigEinmaligBetrag2,0)</f>
        <v>0</v>
      </c>
      <c r="X18" s="40">
        <f aca="1">IF(AND(Param.SonstigEinmaligKonto3="Depot",$A18=Param.SonstigEinmaligJahr3),Param.SonstigEinmaligBetrag3,0)</f>
        <v>0</v>
      </c>
      <c r="Y18" s="40">
        <f aca="1">IF(AND(Param.SonstigEinmaligKonto4="Depot",$A18=Param.SonstigEinmaligJahr4),Param.SonstigEinmaligBetrag4,0)</f>
        <v>0</v>
      </c>
      <c r="Z18" s="40">
        <f aca="1">IF(AND(Param.SonstigEinmaligKonto5="Depot",$A18=Param.SonstigEinmaligJahr5),Param.SonstigEinmaligBetrag5,0)</f>
        <v>0</v>
      </c>
      <c r="AA18" s="40">
        <f aca="1">IF(AND(Param.SonstigEinmaligKonto6="Depot",$A18=Param.SonstigEinmaligJahr6),Param.SonstigEinmaligBetrag6,0)</f>
        <v>0</v>
      </c>
      <c r="AB18" s="40">
        <f aca="1">IF(AND(Param.SonstigEinmaligKonto7="Depot",$A18=Param.SonstigEinmaligJahr7),Param.SonstigEinmaligBetrag7,0)</f>
        <v>0</v>
      </c>
      <c r="AC18" s="40">
        <f aca="1">IF(AND(Param.SonstigEinmaligKonto8="Depot",$A18=Param.SonstigEinmaligJahr8),Param.SonstigEinmaligBetrag8,0)</f>
        <v>0</v>
      </c>
      <c r="AD18" s="40">
        <f aca="1">IF(AND(Param.SonstigEinmaligKonto9="Depot",$A18=Param.SonstigEinmaligJahr9),Param.SonstigEinmaligBetrag9,0)</f>
        <v>0</v>
      </c>
      <c r="AE18" s="40">
        <f aca="1">IF(AND(Param.SonstigEinmaligKonto10="Depot",$A18=Param.SonstigEinmaligJahr10),Param.SonstigEinmaligBetrag10,0)</f>
        <v>0</v>
      </c>
      <c r="AF18" s="40">
        <f aca="1">Param.SparerPauschbetrag-BF18</f>
        <v>0</v>
      </c>
      <c r="AG18" s="40">
        <f aca="1">IF(AND(A18&gt;=Param.FireStartjahr,S18&gt;0),MIN(N18*Q18,S18),0)</f>
        <v>0</v>
      </c>
      <c r="AH18" s="40">
        <f aca="1">IF(AG18&lt;=0,0,IF(S18&lt;=0,0,AG18/(1-MAX(0,((T18/S18)*(1-Param.Teilfreistellung)-MIN(AF18,AG18)/AG18)*Param.KapSt))))</f>
        <v>0</v>
      </c>
      <c r="AI18" s="40">
        <f>AH18-AG18</f>
        <v>0</v>
      </c>
      <c r="AJ18" s="40">
        <f>T18-AH18*(T18/S18)</f>
        <v>387649.382953829016</v>
      </c>
      <c r="AK18" s="40">
        <f>S18-AH18</f>
        <v>643149.382953829016</v>
      </c>
      <c r="AL18" s="40">
        <f>FV(AO18,12,-(U18/12),-AK18,0)</f>
        <v>687901.610102051985</v>
      </c>
      <c r="AM18" s="40">
        <f>AJ18+AL18-AK18-U18</f>
        <v>426401.610102050996</v>
      </c>
      <c r="AN18" s="5">
        <f>AM18/AL18</f>
        <v>0.619858427193960448</v>
      </c>
      <c r="AO18" s="5">
        <f aca="1">(1+IF(AND(A18&gt;=Param.DepotRenditeSpezBeginn1,A18&lt;=Param.DepotRenditeSpezEnde1),Param.DepotRenditeSpezProz1,IF(AND(A18&gt;=Param.DepotRenditeSpezBeginn2,A18&lt;=Param.DepotRenditeSpezEnde2),Param.DepotRenditeSpezProz2,IF(AND(A18&gt;=Param.DepotRenditeSpezBeginn3,A18&lt;=Param.DepotRenditeSpezEnde3),Param.DepotRenditeSpezProz3,IF(AND(A18&gt;=Param.DepotRenditeSpezBeginn4,A18&lt;=Param.DepotRenditeSpezEnde4),Param.DepotRenditeSpezProz4,IF(AND(A18&gt;=Param.DepotRenditeSpezBeginn5,A18&lt;=Param.DepotRenditeSpezEnde5),Param.DepotRenditeSpezProz5,Param.DepotRenditeDefault))))))^(1/12)-1</f>
        <v>0.00486755056533993979</v>
      </c>
      <c r="AP18" s="40">
        <f>BJ17</f>
        <v>165739.793778253632</v>
      </c>
      <c r="AQ18" s="40">
        <f aca="1">IF(A18&lt;Param.FireStartjahr,Param.SparrateFestgeldMonatl*12*(1+Param.SparrateDynamikJaehrl)^($A18-Param.Startjahr),0)</f>
        <v>1800</v>
      </c>
      <c r="AR18" s="40">
        <f>O18</f>
        <v>4016.40604799514995</v>
      </c>
      <c r="AS18" s="40">
        <f aca="1">IF(AND(Param.SonstigEinmaligKonto1="Festgeld",$A18=Param.SonstigEinmaligJahr1),Param.SonstigEinmaligBetrag1,0)</f>
        <v>0</v>
      </c>
      <c r="AT18" s="40">
        <f aca="1">IF(AND(Param.SonstigEinmaligKonto2="Festgeld",$A18=Param.SonstigEinmaligJahr2),Param.SonstigEinmaligBetrag2,0)</f>
        <v>0</v>
      </c>
      <c r="AU18" s="40">
        <f aca="1">IF(AND(Param.SonstigEinmaligKonto3="Festgeld",$A18=Param.SonstigEinmaligJahr3),Param.SonstigEinmaligBetrag3,0)</f>
        <v>0</v>
      </c>
      <c r="AV18" s="40">
        <f aca="1">IF(AND(Param.SonstigEinmaligKonto4="Festgeld",$A18=Param.SonstigEinmaligJahr4),Param.SonstigEinmaligBetrag4,0)</f>
        <v>0</v>
      </c>
      <c r="AW18" s="40">
        <f aca="1">IF(AND(Param.SonstigEinmaligKonto5="Festgeld",$A18=Param.SonstigEinmaligJahr5),Param.SonstigEinmaligBetrag5,0)</f>
        <v>0</v>
      </c>
      <c r="AX18" s="40">
        <f aca="1">IF(AND(Param.SonstigEinmaligKonto6="Festgeld",$A18=Param.SonstigEinmaligJahr6),Param.SonstigEinmaligBetrag6,0)</f>
        <v>0</v>
      </c>
      <c r="AY18" s="40">
        <f aca="1">IF(AND(Param.SonstigEinmaligKonto7="Festgeld",$A18=Param.SonstigEinmaligJahr7),Param.SonstigEinmaligBetrag7,0)</f>
        <v>0</v>
      </c>
      <c r="AZ18" s="40">
        <f aca="1">IF(AND(Param.SonstigEinmaligKonto8="Festgeld",$A18=Param.SonstigEinmaligJahr8),Param.SonstigEinmaligBetrag8,0)</f>
        <v>0</v>
      </c>
      <c r="BA18" s="40">
        <f aca="1">IF(AND(Param.SonstigEinmaligKonto9="Festgeld",$A18=Param.SonstigEinmaligJahr9),Param.SonstigEinmaligBetrag9,0)</f>
        <v>0</v>
      </c>
      <c r="BB18" s="40">
        <f aca="1">IF(AND(Param.SonstigEinmaligKonto10="Festgeld",$A18=Param.SonstigEinmaligJahr10),Param.SonstigEinmaligBetrag10,0)</f>
        <v>0</v>
      </c>
      <c r="BC18" s="40">
        <f aca="1">IF(AND(A18&gt;=Param.FireStartjahr,AP18&gt;0),MIN(N18*R18,AP18),0)</f>
        <v>0</v>
      </c>
      <c r="BD18" s="5">
        <f aca="1">Param.FestgeldZinssatz</f>
        <v>0.02</v>
      </c>
      <c r="BE18" s="40">
        <f>(AP18+AQ18-BC18)*BD18</f>
        <v>3350.79587556508022</v>
      </c>
      <c r="BF18" s="40">
        <f aca="1">IF(BE18&gt;Param.SparerPauschbetrag,Param.SparerPauschbetrag,BE18)</f>
        <v>1000</v>
      </c>
      <c r="BG18" s="40">
        <f>BE18-BF18</f>
        <v>2350.79587556508022</v>
      </c>
      <c r="BH18" s="40">
        <f aca="1">BG18*Param.KapSt</f>
        <v>620.022412180289848</v>
      </c>
      <c r="BI18" s="40">
        <f>BE18-BH18</f>
        <v>2730.77346338479038</v>
      </c>
      <c r="BJ18" s="63">
        <f>AP18+SUM(AQ18:BB18)-BC18+BI18</f>
        <v>174286.97328963381</v>
      </c>
      <c r="BK18" s="40">
        <f>AL18+BJ18</f>
        <v>862188.58339168597</v>
      </c>
      <c r="BL18" s="40">
        <f aca="1">BK18/(1+Param.Inflationsrate)^(A18-Param.Startjahr)</f>
        <v>625449.166048554238</v>
      </c>
      <c r="BM18" s="52" t="str">
        <f>IF(BK18&lt;N18,A18,"")</f>
        <v/>
      </c>
      <c r="BN18" s="40">
        <f>AH18+BC18</f>
        <v>0</v>
      </c>
      <c r="BO18" s="40">
        <f>SUM(AR18:BB18)</f>
        <v>4016.40604799514995</v>
      </c>
      <c r="BP18" s="40">
        <f>BN18+(-1*BO18)</f>
        <v>-4016.40604799514995</v>
      </c>
      <c r="BQ18" s="40">
        <f>AI18+BH18</f>
        <v>620.022412180289962</v>
      </c>
      <c r="BR18" s="5">
        <f>IF(BK18&gt;0,BP18/BK18,0)</f>
        <v>-0.00465838463343526499</v>
      </c>
    </row>
    <row r="19" spans="1:70">
      <c r="A19">
        <f>A18+1</f>
        <v>2040</v>
      </c>
      <c r="B19">
        <f>B5+(15-1)</f>
        <v>44</v>
      </c>
      <c r="C19" s="10">
        <f aca="1">IF(A19&lt;Param.FireStartjahr,0,Param.EntnahmeBetragStart*(1+Param.Inflationsrate)^(A19-Param.Startjahr))</f>
        <v>0</v>
      </c>
      <c r="D19" s="40">
        <f aca="1">IF(OR($A19&lt;Param.SonstigRegelmJahrBeginn1,$A19&gt;Param.SonstigRegelmJahrEnd1),0,Param.SonstigRegelmBetragJaehrl1*(1+Param.SonstigRegelmSteig1)^(A19-Param.SonstigRegelmJahrBeginn1))</f>
        <v>0</v>
      </c>
      <c r="E19" s="40">
        <f aca="1">IF(OR($A19&lt;Param.SonstigRegelmJahrBeginn2,$A19&gt;Param.SonstigRegelmJahrEnd2),0,Param.SonstigRegelmBetragJaehrl2*(1+Param.SonstigRegelmSteig2)^($A19-Param.SonstigRegelmJahrBeginn2))</f>
        <v>0</v>
      </c>
      <c r="F19" s="40">
        <f aca="1">IF(OR($A19&lt;Param.SonstigRegelmJahrBeginn3,$A19&gt;Param.SonstigRegelmJahrEnd3),0,Param.SonstigRegelmBetragJaehrl3*(1+Param.SonstigRegelmSteig3)^($A19-Param.SonstigRegelmJahrBeginn3))</f>
        <v>0</v>
      </c>
      <c r="G19" s="40">
        <f aca="1">IF(OR($A19&lt;Param.SonstigRegelmJahrBeginn4,$A19&gt;Param.SonstigRegelmJahrEnd4),0,Param.SonstigRegelmBetragJaehrl4*(1+Param.SonstigRegelmSteig4)^($A19-Param.SonstigRegelmJahrBeginn4))</f>
        <v>0</v>
      </c>
      <c r="H19" s="40">
        <f aca="1">IF(OR($A19&lt;Param.SonstigRegelmJahrBeginn5,$A19&gt;Param.SonstigRegelmJahrEnd5),0,Param.SonstigRegelmBetragJaehrl5*(1+Param.SonstigRegelmSteig5)^($A19-Param.SonstigRegelmJahrBeginn5))</f>
        <v>0</v>
      </c>
      <c r="I19" s="40">
        <f aca="1">IF(OR($A19&lt;Param.SonstigRegelmJahrBeginn6,$A19&gt;Param.SonstigRegelmJahrEnd6),0,Param.SonstigRegelmBetragJaehrl6*(1+Param.SonstigRegelmSteig6)^($A19-Param.SonstigRegelmJahrBeginn6))</f>
        <v>0</v>
      </c>
      <c r="J19" s="40">
        <f aca="1">IF(OR($A19&lt;Param.SonstigRegelmJahrBeginn7,$A19&gt;Param.SonstigRegelmJahrEnd7),0,Param.SonstigRegelmBetragJaehrl7*(1+Param.SonstigRegelmSteig7)^($A19-Param.SonstigRegelmJahrBeginn7))</f>
        <v>0</v>
      </c>
      <c r="K19" s="40">
        <f aca="1">IF(OR($A19&lt;Param.SonstigRegelmJahrBeginn8,$A19&gt;Param.SonstigRegelmJahrEnd8),0,Param.SonstigRegelmBetragJaehrl8*(1+Param.SonstigRegelmSteig8)^($A19-Param.SonstigRegelmJahrBeginn8))</f>
        <v>0</v>
      </c>
      <c r="L19" s="40">
        <f aca="1">IF(OR($A19&lt;Param.SonstigRegelmJahrBeginn9,$A19&gt;Param.SonstigRegelmJahrEnd9),0,Param.SonstigRegelmBetragJaehrl9*(1+Param.SonstigRegelmSteig9)^($A19-Param.SonstigRegelmJahrBeginn9))</f>
        <v>0</v>
      </c>
      <c r="M19" s="40">
        <f aca="1">IF(OR($A19&lt;Param.SonstigRegelmJahrBeginn10,$A19&gt;Param.SonstigRegelmJahrEnd10),0,Param.SonstigRegelmBetragJaehrl10*(1+Param.SonstigRegelmSteig10)^($A19-Param.SonstigRegelmJahrBeginn10))</f>
        <v>0</v>
      </c>
      <c r="N19" s="10">
        <f>MAX(0,C19-SUM(D19:M19))</f>
        <v>0</v>
      </c>
      <c r="O19" s="10">
        <f>IF(N19&lt;=0,SUM(D19:M19)-C19,0)</f>
        <v>0</v>
      </c>
      <c r="P19" s="10">
        <f>S19+AP19</f>
        <v>862188.58339168597</v>
      </c>
      <c r="Q19" s="11">
        <f>IF(P19&gt;0,S19/P19,0)</f>
        <v>0.797855159941897973</v>
      </c>
      <c r="R19" s="11">
        <f>IF(P19&gt;0,AP19/P19,0)</f>
        <v>0.202144840058102115</v>
      </c>
      <c r="S19" s="10">
        <f>AL18</f>
        <v>687901.610102051985</v>
      </c>
      <c r="T19" s="40">
        <f>AM18</f>
        <v>426401.610102050996</v>
      </c>
      <c r="U19" s="40">
        <f aca="1">IF(A19&lt;Param.FireStartjahr,Param.SparrateDepotMonatl*12*(1+Param.SparrateDynamikJaehrl)^($A19-Param.Startjahr),0)</f>
        <v>6000</v>
      </c>
      <c r="V19" s="40">
        <f aca="1">IF(AND(Param.SonstigEinmaligKonto1="Depot",$A19=Param.SonstigEinmaligJahr1),Param.SonstigEinmaligBetrag1,0)</f>
        <v>0</v>
      </c>
      <c r="W19" s="40">
        <f aca="1">IF(AND(Param.SonstigEinmaligKonto2="Depot",$A19=Param.SonstigEinmaligJahr2),Param.SonstigEinmaligBetrag2,0)</f>
        <v>0</v>
      </c>
      <c r="X19" s="40">
        <f aca="1">IF(AND(Param.SonstigEinmaligKonto3="Depot",$A19=Param.SonstigEinmaligJahr3),Param.SonstigEinmaligBetrag3,0)</f>
        <v>0</v>
      </c>
      <c r="Y19" s="40">
        <f aca="1">IF(AND(Param.SonstigEinmaligKonto4="Depot",$A19=Param.SonstigEinmaligJahr4),Param.SonstigEinmaligBetrag4,0)</f>
        <v>0</v>
      </c>
      <c r="Z19" s="40">
        <f aca="1">IF(AND(Param.SonstigEinmaligKonto5="Depot",$A19=Param.SonstigEinmaligJahr5),Param.SonstigEinmaligBetrag5,0)</f>
        <v>0</v>
      </c>
      <c r="AA19" s="40">
        <f aca="1">IF(AND(Param.SonstigEinmaligKonto6="Depot",$A19=Param.SonstigEinmaligJahr6),Param.SonstigEinmaligBetrag6,0)</f>
        <v>0</v>
      </c>
      <c r="AB19" s="40">
        <f aca="1">IF(AND(Param.SonstigEinmaligKonto7="Depot",$A19=Param.SonstigEinmaligJahr7),Param.SonstigEinmaligBetrag7,0)</f>
        <v>0</v>
      </c>
      <c r="AC19" s="40">
        <f aca="1">IF(AND(Param.SonstigEinmaligKonto8="Depot",$A19=Param.SonstigEinmaligJahr8),Param.SonstigEinmaligBetrag8,0)</f>
        <v>0</v>
      </c>
      <c r="AD19" s="40">
        <f aca="1">IF(AND(Param.SonstigEinmaligKonto9="Depot",$A19=Param.SonstigEinmaligJahr9),Param.SonstigEinmaligBetrag9,0)</f>
        <v>0</v>
      </c>
      <c r="AE19" s="40">
        <f aca="1">IF(AND(Param.SonstigEinmaligKonto10="Depot",$A19=Param.SonstigEinmaligJahr10),Param.SonstigEinmaligBetrag10,0)</f>
        <v>0</v>
      </c>
      <c r="AF19" s="40">
        <f aca="1">Param.SparerPauschbetrag-BF19</f>
        <v>0</v>
      </c>
      <c r="AG19" s="40">
        <f aca="1">IF(AND(A19&gt;=Param.FireStartjahr,S19&gt;0),MIN(N19*Q19,S19),0)</f>
        <v>0</v>
      </c>
      <c r="AH19" s="40">
        <f aca="1">IF(AG19&lt;=0,0,IF(S19&lt;=0,0,AG19/(1-MAX(0,((T19/S19)*(1-Param.Teilfreistellung)-MIN(AF19,AG19)/AG19)*Param.KapSt))))</f>
        <v>0</v>
      </c>
      <c r="AI19" s="40">
        <f>AH19-AG19</f>
        <v>0</v>
      </c>
      <c r="AJ19" s="40">
        <f>T19-AH19*(T19/S19)</f>
        <v>426401.610102050996</v>
      </c>
      <c r="AK19" s="40">
        <f>S19-AH19</f>
        <v>687901.610102051985</v>
      </c>
      <c r="AL19" s="40">
        <f>FV(AO19,12,-(U19/12),-AK19,0)</f>
        <v>735338.97087916662</v>
      </c>
      <c r="AM19" s="40">
        <f>AJ19+AL19-AK19-U19</f>
        <v>467838.970879168017</v>
      </c>
      <c r="AN19" s="5">
        <f>AM19/AL19</f>
        <v>0.636222190590310266</v>
      </c>
      <c r="AO19" s="5">
        <f aca="1">(1+IF(AND(A19&gt;=Param.DepotRenditeSpezBeginn1,A19&lt;=Param.DepotRenditeSpezEnde1),Param.DepotRenditeSpezProz1,IF(AND(A19&gt;=Param.DepotRenditeSpezBeginn2,A19&lt;=Param.DepotRenditeSpezEnde2),Param.DepotRenditeSpezProz2,IF(AND(A19&gt;=Param.DepotRenditeSpezBeginn3,A19&lt;=Param.DepotRenditeSpezEnde3),Param.DepotRenditeSpezProz3,IF(AND(A19&gt;=Param.DepotRenditeSpezBeginn4,A19&lt;=Param.DepotRenditeSpezEnde4),Param.DepotRenditeSpezProz4,IF(AND(A19&gt;=Param.DepotRenditeSpezBeginn5,A19&lt;=Param.DepotRenditeSpezEnde5),Param.DepotRenditeSpezProz5,Param.DepotRenditeDefault))))))^(1/12)-1</f>
        <v>0.00486755056533993979</v>
      </c>
      <c r="AP19" s="40">
        <f>BJ18</f>
        <v>174286.97328963381</v>
      </c>
      <c r="AQ19" s="40">
        <f aca="1">IF(A19&lt;Param.FireStartjahr,Param.SparrateFestgeldMonatl*12*(1+Param.SparrateDynamikJaehrl)^($A19-Param.Startjahr),0)</f>
        <v>1800</v>
      </c>
      <c r="AR19" s="40">
        <f>O19</f>
        <v>0</v>
      </c>
      <c r="AS19" s="40">
        <f aca="1">IF(AND(Param.SonstigEinmaligKonto1="Festgeld",$A19=Param.SonstigEinmaligJahr1),Param.SonstigEinmaligBetrag1,0)</f>
        <v>0</v>
      </c>
      <c r="AT19" s="40">
        <f aca="1">IF(AND(Param.SonstigEinmaligKonto2="Festgeld",$A19=Param.SonstigEinmaligJahr2),Param.SonstigEinmaligBetrag2,0)</f>
        <v>0</v>
      </c>
      <c r="AU19" s="40">
        <f aca="1">IF(AND(Param.SonstigEinmaligKonto3="Festgeld",$A19=Param.SonstigEinmaligJahr3),Param.SonstigEinmaligBetrag3,0)</f>
        <v>100000</v>
      </c>
      <c r="AV19" s="40">
        <f aca="1">IF(AND(Param.SonstigEinmaligKonto4="Festgeld",$A19=Param.SonstigEinmaligJahr4),Param.SonstigEinmaligBetrag4,0)</f>
        <v>0</v>
      </c>
      <c r="AW19" s="40">
        <f aca="1">IF(AND(Param.SonstigEinmaligKonto5="Festgeld",$A19=Param.SonstigEinmaligJahr5),Param.SonstigEinmaligBetrag5,0)</f>
        <v>0</v>
      </c>
      <c r="AX19" s="40">
        <f aca="1">IF(AND(Param.SonstigEinmaligKonto6="Festgeld",$A19=Param.SonstigEinmaligJahr6),Param.SonstigEinmaligBetrag6,0)</f>
        <v>0</v>
      </c>
      <c r="AY19" s="40">
        <f aca="1">IF(AND(Param.SonstigEinmaligKonto7="Festgeld",$A19=Param.SonstigEinmaligJahr7),Param.SonstigEinmaligBetrag7,0)</f>
        <v>0</v>
      </c>
      <c r="AZ19" s="40">
        <f aca="1">IF(AND(Param.SonstigEinmaligKonto8="Festgeld",$A19=Param.SonstigEinmaligJahr8),Param.SonstigEinmaligBetrag8,0)</f>
        <v>0</v>
      </c>
      <c r="BA19" s="40">
        <f aca="1">IF(AND(Param.SonstigEinmaligKonto9="Festgeld",$A19=Param.SonstigEinmaligJahr9),Param.SonstigEinmaligBetrag9,0)</f>
        <v>0</v>
      </c>
      <c r="BB19" s="40">
        <f aca="1">IF(AND(Param.SonstigEinmaligKonto10="Festgeld",$A19=Param.SonstigEinmaligJahr10),Param.SonstigEinmaligBetrag10,0)</f>
        <v>0</v>
      </c>
      <c r="BC19" s="40">
        <f aca="1">IF(AND(A19&gt;=Param.FireStartjahr,AP19&gt;0),MIN(N19*R19,AP19),0)</f>
        <v>0</v>
      </c>
      <c r="BD19" s="5">
        <f aca="1">Param.FestgeldZinssatz</f>
        <v>0.02</v>
      </c>
      <c r="BE19" s="40">
        <f>(AP19+AQ19-BC19)*BD19</f>
        <v>3521.73946579268022</v>
      </c>
      <c r="BF19" s="40">
        <f aca="1">IF(BE19&gt;Param.SparerPauschbetrag,Param.SparerPauschbetrag,BE19)</f>
        <v>1000</v>
      </c>
      <c r="BG19" s="40">
        <f>BE19-BF19</f>
        <v>2521.73946579268022</v>
      </c>
      <c r="BH19" s="40">
        <f aca="1">BG19*Param.KapSt</f>
        <v>665.108784102819413</v>
      </c>
      <c r="BI19" s="40">
        <f>BE19-BH19</f>
        <v>2856.63068168986047</v>
      </c>
      <c r="BJ19" s="63">
        <f>AP19+SUM(AQ19:BB19)-BC19+BI19</f>
        <v>278943.603971323872</v>
      </c>
      <c r="BK19" s="40">
        <f>AL19+BJ19</f>
        <v>1014282.57485049102</v>
      </c>
      <c r="BL19" s="40">
        <f aca="1">BK19/(1+Param.Inflationsrate)^(A19-Param.Startjahr)</f>
        <v>717835.362407127628</v>
      </c>
      <c r="BM19" s="52" t="str">
        <f>IF(BK19&lt;N19,A19,"")</f>
        <v/>
      </c>
      <c r="BN19" s="40">
        <f>AH19+BC19</f>
        <v>0</v>
      </c>
      <c r="BO19" s="40">
        <f>SUM(AR19:BB19)</f>
        <v>100000</v>
      </c>
      <c r="BP19" s="40">
        <f>BN19+(-1*BO19)</f>
        <v>-100000</v>
      </c>
      <c r="BQ19" s="40">
        <f>AI19+BH19</f>
        <v>665.108784102819982</v>
      </c>
      <c r="BR19" s="5">
        <f>IF(BK19&gt;0,BP19/BK19,0)</f>
        <v>-0.0985918544590401424</v>
      </c>
    </row>
    <row r="20" spans="1:70">
      <c r="A20">
        <f>A19+1</f>
        <v>2041</v>
      </c>
      <c r="B20">
        <f>B5+(16-1)</f>
        <v>45</v>
      </c>
      <c r="C20" s="10">
        <f aca="1">IF(A20&lt;Param.FireStartjahr,0,Param.EntnahmeBetragStart*(1+Param.Inflationsrate)^(A20-Param.Startjahr))</f>
        <v>0</v>
      </c>
      <c r="D20" s="40">
        <f aca="1">IF(OR($A20&lt;Param.SonstigRegelmJahrBeginn1,$A20&gt;Param.SonstigRegelmJahrEnd1),0,Param.SonstigRegelmBetragJaehrl1*(1+Param.SonstigRegelmSteig1)^(A20-Param.SonstigRegelmJahrBeginn1))</f>
        <v>0</v>
      </c>
      <c r="E20" s="40">
        <f aca="1">IF(OR($A20&lt;Param.SonstigRegelmJahrBeginn2,$A20&gt;Param.SonstigRegelmJahrEnd2),0,Param.SonstigRegelmBetragJaehrl2*(1+Param.SonstigRegelmSteig2)^($A20-Param.SonstigRegelmJahrBeginn2))</f>
        <v>0</v>
      </c>
      <c r="F20" s="40">
        <f aca="1">IF(OR($A20&lt;Param.SonstigRegelmJahrBeginn3,$A20&gt;Param.SonstigRegelmJahrEnd3),0,Param.SonstigRegelmBetragJaehrl3*(1+Param.SonstigRegelmSteig3)^($A20-Param.SonstigRegelmJahrBeginn3))</f>
        <v>0</v>
      </c>
      <c r="G20" s="40">
        <f aca="1">IF(OR($A20&lt;Param.SonstigRegelmJahrBeginn4,$A20&gt;Param.SonstigRegelmJahrEnd4),0,Param.SonstigRegelmBetragJaehrl4*(1+Param.SonstigRegelmSteig4)^($A20-Param.SonstigRegelmJahrBeginn4))</f>
        <v>0</v>
      </c>
      <c r="H20" s="40">
        <f aca="1">IF(OR($A20&lt;Param.SonstigRegelmJahrBeginn5,$A20&gt;Param.SonstigRegelmJahrEnd5),0,Param.SonstigRegelmBetragJaehrl5*(1+Param.SonstigRegelmSteig5)^($A20-Param.SonstigRegelmJahrBeginn5))</f>
        <v>0</v>
      </c>
      <c r="I20" s="40">
        <f aca="1">IF(OR($A20&lt;Param.SonstigRegelmJahrBeginn6,$A20&gt;Param.SonstigRegelmJahrEnd6),0,Param.SonstigRegelmBetragJaehrl6*(1+Param.SonstigRegelmSteig6)^($A20-Param.SonstigRegelmJahrBeginn6))</f>
        <v>0</v>
      </c>
      <c r="J20" s="40">
        <f aca="1">IF(OR($A20&lt;Param.SonstigRegelmJahrBeginn7,$A20&gt;Param.SonstigRegelmJahrEnd7),0,Param.SonstigRegelmBetragJaehrl7*(1+Param.SonstigRegelmSteig7)^($A20-Param.SonstigRegelmJahrBeginn7))</f>
        <v>0</v>
      </c>
      <c r="K20" s="40">
        <f aca="1">IF(OR($A20&lt;Param.SonstigRegelmJahrBeginn8,$A20&gt;Param.SonstigRegelmJahrEnd8),0,Param.SonstigRegelmBetragJaehrl8*(1+Param.SonstigRegelmSteig8)^($A20-Param.SonstigRegelmJahrBeginn8))</f>
        <v>0</v>
      </c>
      <c r="L20" s="40">
        <f aca="1">IF(OR($A20&lt;Param.SonstigRegelmJahrBeginn9,$A20&gt;Param.SonstigRegelmJahrEnd9),0,Param.SonstigRegelmBetragJaehrl9*(1+Param.SonstigRegelmSteig9)^($A20-Param.SonstigRegelmJahrBeginn9))</f>
        <v>0</v>
      </c>
      <c r="M20" s="40">
        <f aca="1">IF(OR($A20&lt;Param.SonstigRegelmJahrBeginn10,$A20&gt;Param.SonstigRegelmJahrEnd10),0,Param.SonstigRegelmBetragJaehrl10*(1+Param.SonstigRegelmSteig10)^($A20-Param.SonstigRegelmJahrBeginn10))</f>
        <v>0</v>
      </c>
      <c r="N20" s="10">
        <f>MAX(0,C20-SUM(D20:M20))</f>
        <v>0</v>
      </c>
      <c r="O20" s="10">
        <f>IF(N20&lt;=0,SUM(D20:M20)-C20,0)</f>
        <v>0</v>
      </c>
      <c r="P20" s="10">
        <f>S20+AP20</f>
        <v>1014282.57485049102</v>
      </c>
      <c r="Q20" s="11">
        <f>IF(P20&gt;0,S20/P20,0)</f>
        <v>0.724984327949791929</v>
      </c>
      <c r="R20" s="11">
        <f>IF(P20&gt;0,AP20/P20,0)</f>
        <v>0.275015672050209048</v>
      </c>
      <c r="S20" s="10">
        <f>AL19</f>
        <v>735338.97087916662</v>
      </c>
      <c r="T20" s="40">
        <f>AM19</f>
        <v>467838.970879168017</v>
      </c>
      <c r="U20" s="40">
        <f aca="1">IF(A20&lt;Param.FireStartjahr,Param.SparrateDepotMonatl*12*(1+Param.SparrateDynamikJaehrl)^($A20-Param.Startjahr),0)</f>
        <v>6000</v>
      </c>
      <c r="V20" s="40">
        <f aca="1">IF(AND(Param.SonstigEinmaligKonto1="Depot",$A20=Param.SonstigEinmaligJahr1),Param.SonstigEinmaligBetrag1,0)</f>
        <v>0</v>
      </c>
      <c r="W20" s="40">
        <f aca="1">IF(AND(Param.SonstigEinmaligKonto2="Depot",$A20=Param.SonstigEinmaligJahr2),Param.SonstigEinmaligBetrag2,0)</f>
        <v>0</v>
      </c>
      <c r="X20" s="40">
        <f aca="1">IF(AND(Param.SonstigEinmaligKonto3="Depot",$A20=Param.SonstigEinmaligJahr3),Param.SonstigEinmaligBetrag3,0)</f>
        <v>0</v>
      </c>
      <c r="Y20" s="40">
        <f aca="1">IF(AND(Param.SonstigEinmaligKonto4="Depot",$A20=Param.SonstigEinmaligJahr4),Param.SonstigEinmaligBetrag4,0)</f>
        <v>0</v>
      </c>
      <c r="Z20" s="40">
        <f aca="1">IF(AND(Param.SonstigEinmaligKonto5="Depot",$A20=Param.SonstigEinmaligJahr5),Param.SonstigEinmaligBetrag5,0)</f>
        <v>0</v>
      </c>
      <c r="AA20" s="40">
        <f aca="1">IF(AND(Param.SonstigEinmaligKonto6="Depot",$A20=Param.SonstigEinmaligJahr6),Param.SonstigEinmaligBetrag6,0)</f>
        <v>0</v>
      </c>
      <c r="AB20" s="40">
        <f aca="1">IF(AND(Param.SonstigEinmaligKonto7="Depot",$A20=Param.SonstigEinmaligJahr7),Param.SonstigEinmaligBetrag7,0)</f>
        <v>0</v>
      </c>
      <c r="AC20" s="40">
        <f aca="1">IF(AND(Param.SonstigEinmaligKonto8="Depot",$A20=Param.SonstigEinmaligJahr8),Param.SonstigEinmaligBetrag8,0)</f>
        <v>0</v>
      </c>
      <c r="AD20" s="40">
        <f aca="1">IF(AND(Param.SonstigEinmaligKonto9="Depot",$A20=Param.SonstigEinmaligJahr9),Param.SonstigEinmaligBetrag9,0)</f>
        <v>0</v>
      </c>
      <c r="AE20" s="40">
        <f aca="1">IF(AND(Param.SonstigEinmaligKonto10="Depot",$A20=Param.SonstigEinmaligJahr10),Param.SonstigEinmaligBetrag10,0)</f>
        <v>0</v>
      </c>
      <c r="AF20" s="40">
        <f aca="1">Param.SparerPauschbetrag-BF20</f>
        <v>0</v>
      </c>
      <c r="AG20" s="40">
        <f aca="1">IF(AND(A20&gt;=Param.FireStartjahr,S20&gt;0),MIN(N20*Q20,S20),0)</f>
        <v>0</v>
      </c>
      <c r="AH20" s="40">
        <f aca="1">IF(AG20&lt;=0,0,IF(S20&lt;=0,0,AG20/(1-MAX(0,((T20/S20)*(1-Param.Teilfreistellung)-MIN(AF20,AG20)/AG20)*Param.KapSt))))</f>
        <v>0</v>
      </c>
      <c r="AI20" s="40">
        <f>AH20-AG20</f>
        <v>0</v>
      </c>
      <c r="AJ20" s="40">
        <f>T20-AH20*(T20/S20)</f>
        <v>467838.970879168017</v>
      </c>
      <c r="AK20" s="40">
        <f>S20-AH20</f>
        <v>735338.970879166969</v>
      </c>
      <c r="AL20" s="40">
        <f>FV(AO20,12,-(U20/12),-AK20,0)</f>
        <v>785622.573302906589</v>
      </c>
      <c r="AM20" s="40">
        <f>AJ20+AL20-AK20-U20</f>
        <v>512122.573302912991</v>
      </c>
      <c r="AN20" s="5">
        <f>AM20/AL20</f>
        <v>0.65186845529380868</v>
      </c>
      <c r="AO20" s="5">
        <f aca="1">(1+IF(AND(A20&gt;=Param.DepotRenditeSpezBeginn1,A20&lt;=Param.DepotRenditeSpezEnde1),Param.DepotRenditeSpezProz1,IF(AND(A20&gt;=Param.DepotRenditeSpezBeginn2,A20&lt;=Param.DepotRenditeSpezEnde2),Param.DepotRenditeSpezProz2,IF(AND(A20&gt;=Param.DepotRenditeSpezBeginn3,A20&lt;=Param.DepotRenditeSpezEnde3),Param.DepotRenditeSpezProz3,IF(AND(A20&gt;=Param.DepotRenditeSpezBeginn4,A20&lt;=Param.DepotRenditeSpezEnde4),Param.DepotRenditeSpezProz4,IF(AND(A20&gt;=Param.DepotRenditeSpezBeginn5,A20&lt;=Param.DepotRenditeSpezEnde5),Param.DepotRenditeSpezProz5,Param.DepotRenditeDefault))))))^(1/12)-1</f>
        <v>0.00486755056533993979</v>
      </c>
      <c r="AP20" s="40">
        <f>BJ19</f>
        <v>278943.603971323872</v>
      </c>
      <c r="AQ20" s="40">
        <f aca="1">IF(A20&lt;Param.FireStartjahr,Param.SparrateFestgeldMonatl*12*(1+Param.SparrateDynamikJaehrl)^($A20-Param.Startjahr),0)</f>
        <v>1800</v>
      </c>
      <c r="AR20" s="40">
        <f>O20</f>
        <v>0</v>
      </c>
      <c r="AS20" s="40">
        <f aca="1">IF(AND(Param.SonstigEinmaligKonto1="Festgeld",$A20=Param.SonstigEinmaligJahr1),Param.SonstigEinmaligBetrag1,0)</f>
        <v>0</v>
      </c>
      <c r="AT20" s="40">
        <f aca="1">IF(AND(Param.SonstigEinmaligKonto2="Festgeld",$A20=Param.SonstigEinmaligJahr2),Param.SonstigEinmaligBetrag2,0)</f>
        <v>0</v>
      </c>
      <c r="AU20" s="40">
        <f aca="1">IF(AND(Param.SonstigEinmaligKonto3="Festgeld",$A20=Param.SonstigEinmaligJahr3),Param.SonstigEinmaligBetrag3,0)</f>
        <v>0</v>
      </c>
      <c r="AV20" s="40">
        <f aca="1">IF(AND(Param.SonstigEinmaligKonto4="Festgeld",$A20=Param.SonstigEinmaligJahr4),Param.SonstigEinmaligBetrag4,0)</f>
        <v>0</v>
      </c>
      <c r="AW20" s="40">
        <f aca="1">IF(AND(Param.SonstigEinmaligKonto5="Festgeld",$A20=Param.SonstigEinmaligJahr5),Param.SonstigEinmaligBetrag5,0)</f>
        <v>0</v>
      </c>
      <c r="AX20" s="40">
        <f aca="1">IF(AND(Param.SonstigEinmaligKonto6="Festgeld",$A20=Param.SonstigEinmaligJahr6),Param.SonstigEinmaligBetrag6,0)</f>
        <v>0</v>
      </c>
      <c r="AY20" s="40">
        <f aca="1">IF(AND(Param.SonstigEinmaligKonto7="Festgeld",$A20=Param.SonstigEinmaligJahr7),Param.SonstigEinmaligBetrag7,0)</f>
        <v>0</v>
      </c>
      <c r="AZ20" s="40">
        <f aca="1">IF(AND(Param.SonstigEinmaligKonto8="Festgeld",$A20=Param.SonstigEinmaligJahr8),Param.SonstigEinmaligBetrag8,0)</f>
        <v>0</v>
      </c>
      <c r="BA20" s="40">
        <f aca="1">IF(AND(Param.SonstigEinmaligKonto9="Festgeld",$A20=Param.SonstigEinmaligJahr9),Param.SonstigEinmaligBetrag9,0)</f>
        <v>0</v>
      </c>
      <c r="BB20" s="40">
        <f aca="1">IF(AND(Param.SonstigEinmaligKonto10="Festgeld",$A20=Param.SonstigEinmaligJahr10),Param.SonstigEinmaligBetrag10,0)</f>
        <v>0</v>
      </c>
      <c r="BC20" s="40">
        <f aca="1">IF(AND(A20&gt;=Param.FireStartjahr,AP20&gt;0),MIN(N20*R20,AP20),0)</f>
        <v>0</v>
      </c>
      <c r="BD20" s="5">
        <f aca="1">Param.FestgeldZinssatz</f>
        <v>0.02</v>
      </c>
      <c r="BE20" s="40">
        <f>(AP20+AQ20-BC20)*BD20</f>
        <v>5614.87207942648001</v>
      </c>
      <c r="BF20" s="40">
        <f aca="1">IF(BE20&gt;Param.SparerPauschbetrag,Param.SparerPauschbetrag,BE20)</f>
        <v>1000</v>
      </c>
      <c r="BG20" s="40">
        <f>BE20-BF20</f>
        <v>4614.87207942648001</v>
      </c>
      <c r="BH20" s="40">
        <f aca="1">BG20*Param.KapSt</f>
        <v>1217.17251094873404</v>
      </c>
      <c r="BI20" s="40">
        <f>BE20-BH20</f>
        <v>4397.69956847775029</v>
      </c>
      <c r="BJ20" s="63">
        <f>AP20+SUM(AQ20:BB20)-BC20+BI20</f>
        <v>285141.303539801738</v>
      </c>
      <c r="BK20" s="40">
        <f>AL20+BJ20</f>
        <v>1070763.87684270903</v>
      </c>
      <c r="BL20" s="40">
        <f aca="1">BK20/(1+Param.Inflationsrate)^(A20-Param.Startjahr)</f>
        <v>739325.576467273175</v>
      </c>
      <c r="BM20" s="52" t="str">
        <f>IF(BK20&lt;N20,A20,"")</f>
        <v/>
      </c>
      <c r="BN20" s="40">
        <f>AH20+BC20</f>
        <v>0</v>
      </c>
      <c r="BO20" s="40">
        <f>SUM(AR20:BB20)</f>
        <v>0</v>
      </c>
      <c r="BP20" s="40">
        <f>BN20+(-1*BO20)</f>
        <v>0</v>
      </c>
      <c r="BQ20" s="40">
        <f>AI20+BH20</f>
        <v>1217.17251094872995</v>
      </c>
      <c r="BR20" s="5">
        <f>IF(BK20&gt;0,BP20/BK20,0)</f>
        <v>0</v>
      </c>
    </row>
    <row r="21" spans="1:70">
      <c r="A21">
        <f>A20+1</f>
        <v>2042</v>
      </c>
      <c r="B21">
        <f>B5+(17-1)</f>
        <v>46</v>
      </c>
      <c r="C21" s="10">
        <f aca="1">IF(A21&lt;Param.FireStartjahr,0,Param.EntnahmeBetragStart*(1+Param.Inflationsrate)^(A21-Param.Startjahr))</f>
        <v>0</v>
      </c>
      <c r="D21" s="40">
        <f aca="1">IF(OR($A21&lt;Param.SonstigRegelmJahrBeginn1,$A21&gt;Param.SonstigRegelmJahrEnd1),0,Param.SonstigRegelmBetragJaehrl1*(1+Param.SonstigRegelmSteig1)^(A21-Param.SonstigRegelmJahrBeginn1))</f>
        <v>0</v>
      </c>
      <c r="E21" s="40">
        <f aca="1">IF(OR($A21&lt;Param.SonstigRegelmJahrBeginn2,$A21&gt;Param.SonstigRegelmJahrEnd2),0,Param.SonstigRegelmBetragJaehrl2*(1+Param.SonstigRegelmSteig2)^($A21-Param.SonstigRegelmJahrBeginn2))</f>
        <v>0</v>
      </c>
      <c r="F21" s="40">
        <f aca="1">IF(OR($A21&lt;Param.SonstigRegelmJahrBeginn3,$A21&gt;Param.SonstigRegelmJahrEnd3),0,Param.SonstigRegelmBetragJaehrl3*(1+Param.SonstigRegelmSteig3)^($A21-Param.SonstigRegelmJahrBeginn3))</f>
        <v>0</v>
      </c>
      <c r="G21" s="40">
        <f aca="1">IF(OR($A21&lt;Param.SonstigRegelmJahrBeginn4,$A21&gt;Param.SonstigRegelmJahrEnd4),0,Param.SonstigRegelmBetragJaehrl4*(1+Param.SonstigRegelmSteig4)^($A21-Param.SonstigRegelmJahrBeginn4))</f>
        <v>0</v>
      </c>
      <c r="H21" s="40">
        <f aca="1">IF(OR($A21&lt;Param.SonstigRegelmJahrBeginn5,$A21&gt;Param.SonstigRegelmJahrEnd5),0,Param.SonstigRegelmBetragJaehrl5*(1+Param.SonstigRegelmSteig5)^($A21-Param.SonstigRegelmJahrBeginn5))</f>
        <v>0</v>
      </c>
      <c r="I21" s="40">
        <f aca="1">IF(OR($A21&lt;Param.SonstigRegelmJahrBeginn6,$A21&gt;Param.SonstigRegelmJahrEnd6),0,Param.SonstigRegelmBetragJaehrl6*(1+Param.SonstigRegelmSteig6)^($A21-Param.SonstigRegelmJahrBeginn6))</f>
        <v>0</v>
      </c>
      <c r="J21" s="40">
        <f aca="1">IF(OR($A21&lt;Param.SonstigRegelmJahrBeginn7,$A21&gt;Param.SonstigRegelmJahrEnd7),0,Param.SonstigRegelmBetragJaehrl7*(1+Param.SonstigRegelmSteig7)^($A21-Param.SonstigRegelmJahrBeginn7))</f>
        <v>0</v>
      </c>
      <c r="K21" s="40">
        <f aca="1">IF(OR($A21&lt;Param.SonstigRegelmJahrBeginn8,$A21&gt;Param.SonstigRegelmJahrEnd8),0,Param.SonstigRegelmBetragJaehrl8*(1+Param.SonstigRegelmSteig8)^($A21-Param.SonstigRegelmJahrBeginn8))</f>
        <v>0</v>
      </c>
      <c r="L21" s="40">
        <f aca="1">IF(OR($A21&lt;Param.SonstigRegelmJahrBeginn9,$A21&gt;Param.SonstigRegelmJahrEnd9),0,Param.SonstigRegelmBetragJaehrl9*(1+Param.SonstigRegelmSteig9)^($A21-Param.SonstigRegelmJahrBeginn9))</f>
        <v>0</v>
      </c>
      <c r="M21" s="40">
        <f aca="1">IF(OR($A21&lt;Param.SonstigRegelmJahrBeginn10,$A21&gt;Param.SonstigRegelmJahrEnd10),0,Param.SonstigRegelmBetragJaehrl10*(1+Param.SonstigRegelmSteig10)^($A21-Param.SonstigRegelmJahrBeginn10))</f>
        <v>0</v>
      </c>
      <c r="N21" s="10">
        <f>MAX(0,C21-SUM(D21:M21))</f>
        <v>0</v>
      </c>
      <c r="O21" s="10">
        <f>IF(N21&lt;=0,SUM(D21:M21)-C21,0)</f>
        <v>0</v>
      </c>
      <c r="P21" s="10">
        <f>S21+AP21</f>
        <v>1070763.87684270903</v>
      </c>
      <c r="Q21" s="11">
        <f>IF(P21&gt;0,S21/P21,0)</f>
        <v>0.733702910878372094</v>
      </c>
      <c r="R21" s="11">
        <f>IF(P21&gt;0,AP21/P21,0)</f>
        <v>0.266297089121626973</v>
      </c>
      <c r="S21" s="10">
        <f>AL20</f>
        <v>785622.573302906589</v>
      </c>
      <c r="T21" s="40">
        <f>AM20</f>
        <v>512122.573302912991</v>
      </c>
      <c r="U21" s="40">
        <f aca="1">IF(A21&lt;Param.FireStartjahr,Param.SparrateDepotMonatl*12*(1+Param.SparrateDynamikJaehrl)^($A21-Param.Startjahr),0)</f>
        <v>6000</v>
      </c>
      <c r="V21" s="40">
        <f aca="1">IF(AND(Param.SonstigEinmaligKonto1="Depot",$A21=Param.SonstigEinmaligJahr1),Param.SonstigEinmaligBetrag1,0)</f>
        <v>0</v>
      </c>
      <c r="W21" s="40">
        <f aca="1">IF(AND(Param.SonstigEinmaligKonto2="Depot",$A21=Param.SonstigEinmaligJahr2),Param.SonstigEinmaligBetrag2,0)</f>
        <v>0</v>
      </c>
      <c r="X21" s="40">
        <f aca="1">IF(AND(Param.SonstigEinmaligKonto3="Depot",$A21=Param.SonstigEinmaligJahr3),Param.SonstigEinmaligBetrag3,0)</f>
        <v>0</v>
      </c>
      <c r="Y21" s="40">
        <f aca="1">IF(AND(Param.SonstigEinmaligKonto4="Depot",$A21=Param.SonstigEinmaligJahr4),Param.SonstigEinmaligBetrag4,0)</f>
        <v>0</v>
      </c>
      <c r="Z21" s="40">
        <f aca="1">IF(AND(Param.SonstigEinmaligKonto5="Depot",$A21=Param.SonstigEinmaligJahr5),Param.SonstigEinmaligBetrag5,0)</f>
        <v>0</v>
      </c>
      <c r="AA21" s="40">
        <f aca="1">IF(AND(Param.SonstigEinmaligKonto6="Depot",$A21=Param.SonstigEinmaligJahr6),Param.SonstigEinmaligBetrag6,0)</f>
        <v>0</v>
      </c>
      <c r="AB21" s="40">
        <f aca="1">IF(AND(Param.SonstigEinmaligKonto7="Depot",$A21=Param.SonstigEinmaligJahr7),Param.SonstigEinmaligBetrag7,0)</f>
        <v>0</v>
      </c>
      <c r="AC21" s="40">
        <f aca="1">IF(AND(Param.SonstigEinmaligKonto8="Depot",$A21=Param.SonstigEinmaligJahr8),Param.SonstigEinmaligBetrag8,0)</f>
        <v>0</v>
      </c>
      <c r="AD21" s="40">
        <f aca="1">IF(AND(Param.SonstigEinmaligKonto9="Depot",$A21=Param.SonstigEinmaligJahr9),Param.SonstigEinmaligBetrag9,0)</f>
        <v>0</v>
      </c>
      <c r="AE21" s="40">
        <f aca="1">IF(AND(Param.SonstigEinmaligKonto10="Depot",$A21=Param.SonstigEinmaligJahr10),Param.SonstigEinmaligBetrag10,0)</f>
        <v>0</v>
      </c>
      <c r="AF21" s="40">
        <f aca="1">Param.SparerPauschbetrag-BF21</f>
        <v>0</v>
      </c>
      <c r="AG21" s="40">
        <f aca="1">IF(AND(A21&gt;=Param.FireStartjahr,S21&gt;0),MIN(N21*Q21,S21),0)</f>
        <v>0</v>
      </c>
      <c r="AH21" s="40">
        <f aca="1">IF(AG21&lt;=0,0,IF(S21&lt;=0,0,AG21/(1-MAX(0,((T21/S21)*(1-Param.Teilfreistellung)-MIN(AF21,AG21)/AG21)*Param.KapSt))))</f>
        <v>0</v>
      </c>
      <c r="AI21" s="40">
        <f>AH21-AG21</f>
        <v>0</v>
      </c>
      <c r="AJ21" s="40">
        <f>T21-AH21*(T21/S21)</f>
        <v>512122.573302912991</v>
      </c>
      <c r="AK21" s="40">
        <f>S21-AH21</f>
        <v>785622.573302907054</v>
      </c>
      <c r="AL21" s="40">
        <f>FV(AO21,12,-(U21/12),-AK21,0)</f>
        <v>838923.191872069146</v>
      </c>
      <c r="AM21" s="40">
        <f>AJ21+AL21-AK21-U21</f>
        <v>559423.191872072988</v>
      </c>
      <c r="AN21" s="5">
        <f>AM21/AL21</f>
        <v>0.666834815501657818</v>
      </c>
      <c r="AO21" s="5">
        <f aca="1">(1+IF(AND(A21&gt;=Param.DepotRenditeSpezBeginn1,A21&lt;=Param.DepotRenditeSpezEnde1),Param.DepotRenditeSpezProz1,IF(AND(A21&gt;=Param.DepotRenditeSpezBeginn2,A21&lt;=Param.DepotRenditeSpezEnde2),Param.DepotRenditeSpezProz2,IF(AND(A21&gt;=Param.DepotRenditeSpezBeginn3,A21&lt;=Param.DepotRenditeSpezEnde3),Param.DepotRenditeSpezProz3,IF(AND(A21&gt;=Param.DepotRenditeSpezBeginn4,A21&lt;=Param.DepotRenditeSpezEnde4),Param.DepotRenditeSpezProz4,IF(AND(A21&gt;=Param.DepotRenditeSpezBeginn5,A21&lt;=Param.DepotRenditeSpezEnde5),Param.DepotRenditeSpezProz5,Param.DepotRenditeDefault))))))^(1/12)-1</f>
        <v>0.00486755056533993979</v>
      </c>
      <c r="AP21" s="40">
        <f>BJ20</f>
        <v>285141.303539801738</v>
      </c>
      <c r="AQ21" s="40">
        <f aca="1">IF(A21&lt;Param.FireStartjahr,Param.SparrateFestgeldMonatl*12*(1+Param.SparrateDynamikJaehrl)^($A21-Param.Startjahr),0)</f>
        <v>1800</v>
      </c>
      <c r="AR21" s="40">
        <f>O21</f>
        <v>0</v>
      </c>
      <c r="AS21" s="40">
        <f aca="1">IF(AND(Param.SonstigEinmaligKonto1="Festgeld",$A21=Param.SonstigEinmaligJahr1),Param.SonstigEinmaligBetrag1,0)</f>
        <v>0</v>
      </c>
      <c r="AT21" s="40">
        <f aca="1">IF(AND(Param.SonstigEinmaligKonto2="Festgeld",$A21=Param.SonstigEinmaligJahr2),Param.SonstigEinmaligBetrag2,0)</f>
        <v>0</v>
      </c>
      <c r="AU21" s="40">
        <f aca="1">IF(AND(Param.SonstigEinmaligKonto3="Festgeld",$A21=Param.SonstigEinmaligJahr3),Param.SonstigEinmaligBetrag3,0)</f>
        <v>0</v>
      </c>
      <c r="AV21" s="40">
        <f aca="1">IF(AND(Param.SonstigEinmaligKonto4="Festgeld",$A21=Param.SonstigEinmaligJahr4),Param.SonstigEinmaligBetrag4,0)</f>
        <v>0</v>
      </c>
      <c r="AW21" s="40">
        <f aca="1">IF(AND(Param.SonstigEinmaligKonto5="Festgeld",$A21=Param.SonstigEinmaligJahr5),Param.SonstigEinmaligBetrag5,0)</f>
        <v>0</v>
      </c>
      <c r="AX21" s="40">
        <f aca="1">IF(AND(Param.SonstigEinmaligKonto6="Festgeld",$A21=Param.SonstigEinmaligJahr6),Param.SonstigEinmaligBetrag6,0)</f>
        <v>0</v>
      </c>
      <c r="AY21" s="40">
        <f aca="1">IF(AND(Param.SonstigEinmaligKonto7="Festgeld",$A21=Param.SonstigEinmaligJahr7),Param.SonstigEinmaligBetrag7,0)</f>
        <v>0</v>
      </c>
      <c r="AZ21" s="40">
        <f aca="1">IF(AND(Param.SonstigEinmaligKonto8="Festgeld",$A21=Param.SonstigEinmaligJahr8),Param.SonstigEinmaligBetrag8,0)</f>
        <v>0</v>
      </c>
      <c r="BA21" s="40">
        <f aca="1">IF(AND(Param.SonstigEinmaligKonto9="Festgeld",$A21=Param.SonstigEinmaligJahr9),Param.SonstigEinmaligBetrag9,0)</f>
        <v>0</v>
      </c>
      <c r="BB21" s="40">
        <f aca="1">IF(AND(Param.SonstigEinmaligKonto10="Festgeld",$A21=Param.SonstigEinmaligJahr10),Param.SonstigEinmaligBetrag10,0)</f>
        <v>0</v>
      </c>
      <c r="BC21" s="40">
        <f aca="1">IF(AND(A21&gt;=Param.FireStartjahr,AP21&gt;0),MIN(N21*R21,AP21),0)</f>
        <v>0</v>
      </c>
      <c r="BD21" s="5">
        <f aca="1">Param.FestgeldZinssatz</f>
        <v>0.02</v>
      </c>
      <c r="BE21" s="40">
        <f>(AP21+AQ21-BC21)*BD21</f>
        <v>5738.82607079603986</v>
      </c>
      <c r="BF21" s="40">
        <f aca="1">IF(BE21&gt;Param.SparerPauschbetrag,Param.SparerPauschbetrag,BE21)</f>
        <v>1000</v>
      </c>
      <c r="BG21" s="40">
        <f>BE21-BF21</f>
        <v>4738.82607079603986</v>
      </c>
      <c r="BH21" s="40">
        <f aca="1">BG21*Param.KapSt</f>
        <v>1249.8653761724554</v>
      </c>
      <c r="BI21" s="40">
        <f>BE21-BH21</f>
        <v>4488.96069462357991</v>
      </c>
      <c r="BJ21" s="63">
        <f>AP21+SUM(AQ21:BB21)-BC21+BI21</f>
        <v>291430.264234425558</v>
      </c>
      <c r="BK21" s="40">
        <f>AL21+BJ21</f>
        <v>1130353.45610649511</v>
      </c>
      <c r="BL21" s="40">
        <f aca="1">BK21/(1+Param.Inflationsrate)^(A21-Param.Startjahr)</f>
        <v>761434.271702876431</v>
      </c>
      <c r="BM21" s="52" t="str">
        <f>IF(BK21&lt;N21,A21,"")</f>
        <v/>
      </c>
      <c r="BN21" s="40">
        <f>AH21+BC21</f>
        <v>0</v>
      </c>
      <c r="BO21" s="40">
        <f>SUM(AR21:BB21)</f>
        <v>0</v>
      </c>
      <c r="BP21" s="40">
        <f>BN21+(-1*BO21)</f>
        <v>0</v>
      </c>
      <c r="BQ21" s="40">
        <f>AI21+BH21</f>
        <v>1249.86537617245995</v>
      </c>
      <c r="BR21" s="5">
        <f>IF(BK21&gt;0,BP21/BK21,0)</f>
        <v>0</v>
      </c>
    </row>
    <row r="22" spans="1:70">
      <c r="A22">
        <f>A21+1</f>
        <v>2043</v>
      </c>
      <c r="B22">
        <f>B5+(18-1)</f>
        <v>47</v>
      </c>
      <c r="C22" s="10">
        <f aca="1">IF(A22&lt;Param.FireStartjahr,0,Param.EntnahmeBetragStart*(1+Param.Inflationsrate)^(A22-Param.Startjahr))</f>
        <v>0</v>
      </c>
      <c r="D22" s="40">
        <f aca="1">IF(OR($A22&lt;Param.SonstigRegelmJahrBeginn1,$A22&gt;Param.SonstigRegelmJahrEnd1),0,Param.SonstigRegelmBetragJaehrl1*(1+Param.SonstigRegelmSteig1)^(A22-Param.SonstigRegelmJahrBeginn1))</f>
        <v>0</v>
      </c>
      <c r="E22" s="40">
        <f aca="1">IF(OR($A22&lt;Param.SonstigRegelmJahrBeginn2,$A22&gt;Param.SonstigRegelmJahrEnd2),0,Param.SonstigRegelmBetragJaehrl2*(1+Param.SonstigRegelmSteig2)^($A22-Param.SonstigRegelmJahrBeginn2))</f>
        <v>0</v>
      </c>
      <c r="F22" s="40">
        <f aca="1">IF(OR($A22&lt;Param.SonstigRegelmJahrBeginn3,$A22&gt;Param.SonstigRegelmJahrEnd3),0,Param.SonstigRegelmBetragJaehrl3*(1+Param.SonstigRegelmSteig3)^($A22-Param.SonstigRegelmJahrBeginn3))</f>
        <v>0</v>
      </c>
      <c r="G22" s="40">
        <f aca="1">IF(OR($A22&lt;Param.SonstigRegelmJahrBeginn4,$A22&gt;Param.SonstigRegelmJahrEnd4),0,Param.SonstigRegelmBetragJaehrl4*(1+Param.SonstigRegelmSteig4)^($A22-Param.SonstigRegelmJahrBeginn4))</f>
        <v>0</v>
      </c>
      <c r="H22" s="40">
        <f aca="1">IF(OR($A22&lt;Param.SonstigRegelmJahrBeginn5,$A22&gt;Param.SonstigRegelmJahrEnd5),0,Param.SonstigRegelmBetragJaehrl5*(1+Param.SonstigRegelmSteig5)^($A22-Param.SonstigRegelmJahrBeginn5))</f>
        <v>0</v>
      </c>
      <c r="I22" s="40">
        <f aca="1">IF(OR($A22&lt;Param.SonstigRegelmJahrBeginn6,$A22&gt;Param.SonstigRegelmJahrEnd6),0,Param.SonstigRegelmBetragJaehrl6*(1+Param.SonstigRegelmSteig6)^($A22-Param.SonstigRegelmJahrBeginn6))</f>
        <v>0</v>
      </c>
      <c r="J22" s="40">
        <f aca="1">IF(OR($A22&lt;Param.SonstigRegelmJahrBeginn7,$A22&gt;Param.SonstigRegelmJahrEnd7),0,Param.SonstigRegelmBetragJaehrl7*(1+Param.SonstigRegelmSteig7)^($A22-Param.SonstigRegelmJahrBeginn7))</f>
        <v>0</v>
      </c>
      <c r="K22" s="40">
        <f aca="1">IF(OR($A22&lt;Param.SonstigRegelmJahrBeginn8,$A22&gt;Param.SonstigRegelmJahrEnd8),0,Param.SonstigRegelmBetragJaehrl8*(1+Param.SonstigRegelmSteig8)^($A22-Param.SonstigRegelmJahrBeginn8))</f>
        <v>0</v>
      </c>
      <c r="L22" s="40">
        <f aca="1">IF(OR($A22&lt;Param.SonstigRegelmJahrBeginn9,$A22&gt;Param.SonstigRegelmJahrEnd9),0,Param.SonstigRegelmBetragJaehrl9*(1+Param.SonstigRegelmSteig9)^($A22-Param.SonstigRegelmJahrBeginn9))</f>
        <v>0</v>
      </c>
      <c r="M22" s="40">
        <f aca="1">IF(OR($A22&lt;Param.SonstigRegelmJahrBeginn10,$A22&gt;Param.SonstigRegelmJahrEnd10),0,Param.SonstigRegelmBetragJaehrl10*(1+Param.SonstigRegelmSteig10)^($A22-Param.SonstigRegelmJahrBeginn10))</f>
        <v>0</v>
      </c>
      <c r="N22" s="10">
        <f>MAX(0,C22-SUM(D22:M22))</f>
        <v>0</v>
      </c>
      <c r="O22" s="10">
        <f>IF(N22&lt;=0,SUM(D22:M22)-C22,0)</f>
        <v>0</v>
      </c>
      <c r="P22" s="10">
        <f>S22+AP22</f>
        <v>1130353.45610649511</v>
      </c>
      <c r="Q22" s="11">
        <f>IF(P22&gt;0,S22/P22,0)</f>
        <v>0.742177756293803981</v>
      </c>
      <c r="R22" s="11">
        <f>IF(P22&gt;0,AP22/P22,0)</f>
        <v>0.257822243706191623</v>
      </c>
      <c r="S22" s="10">
        <f>AL21</f>
        <v>838923.191872069146</v>
      </c>
      <c r="T22" s="40">
        <f>AM21</f>
        <v>559423.191872072988</v>
      </c>
      <c r="U22" s="40">
        <f aca="1">IF(A22&lt;Param.FireStartjahr,Param.SparrateDepotMonatl*12*(1+Param.SparrateDynamikJaehrl)^($A22-Param.Startjahr),0)</f>
        <v>6000</v>
      </c>
      <c r="V22" s="40">
        <f aca="1">IF(AND(Param.SonstigEinmaligKonto1="Depot",$A22=Param.SonstigEinmaligJahr1),Param.SonstigEinmaligBetrag1,0)</f>
        <v>0</v>
      </c>
      <c r="W22" s="40">
        <f aca="1">IF(AND(Param.SonstigEinmaligKonto2="Depot",$A22=Param.SonstigEinmaligJahr2),Param.SonstigEinmaligBetrag2,0)</f>
        <v>0</v>
      </c>
      <c r="X22" s="40">
        <f aca="1">IF(AND(Param.SonstigEinmaligKonto3="Depot",$A22=Param.SonstigEinmaligJahr3),Param.SonstigEinmaligBetrag3,0)</f>
        <v>0</v>
      </c>
      <c r="Y22" s="40">
        <f aca="1">IF(AND(Param.SonstigEinmaligKonto4="Depot",$A22=Param.SonstigEinmaligJahr4),Param.SonstigEinmaligBetrag4,0)</f>
        <v>0</v>
      </c>
      <c r="Z22" s="40">
        <f aca="1">IF(AND(Param.SonstigEinmaligKonto5="Depot",$A22=Param.SonstigEinmaligJahr5),Param.SonstigEinmaligBetrag5,0)</f>
        <v>0</v>
      </c>
      <c r="AA22" s="40">
        <f aca="1">IF(AND(Param.SonstigEinmaligKonto6="Depot",$A22=Param.SonstigEinmaligJahr6),Param.SonstigEinmaligBetrag6,0)</f>
        <v>0</v>
      </c>
      <c r="AB22" s="40">
        <f aca="1">IF(AND(Param.SonstigEinmaligKonto7="Depot",$A22=Param.SonstigEinmaligJahr7),Param.SonstigEinmaligBetrag7,0)</f>
        <v>0</v>
      </c>
      <c r="AC22" s="40">
        <f aca="1">IF(AND(Param.SonstigEinmaligKonto8="Depot",$A22=Param.SonstigEinmaligJahr8),Param.SonstigEinmaligBetrag8,0)</f>
        <v>0</v>
      </c>
      <c r="AD22" s="40">
        <f aca="1">IF(AND(Param.SonstigEinmaligKonto9="Depot",$A22=Param.SonstigEinmaligJahr9),Param.SonstigEinmaligBetrag9,0)</f>
        <v>0</v>
      </c>
      <c r="AE22" s="40">
        <f aca="1">IF(AND(Param.SonstigEinmaligKonto10="Depot",$A22=Param.SonstigEinmaligJahr10),Param.SonstigEinmaligBetrag10,0)</f>
        <v>0</v>
      </c>
      <c r="AF22" s="40">
        <f aca="1">Param.SparerPauschbetrag-BF22</f>
        <v>0</v>
      </c>
      <c r="AG22" s="40">
        <f aca="1">IF(AND(A22&gt;=Param.FireStartjahr,S22&gt;0),MIN(N22*Q22,S22),0)</f>
        <v>0</v>
      </c>
      <c r="AH22" s="40">
        <f aca="1">IF(AG22&lt;=0,0,IF(S22&lt;=0,0,AG22/(1-MAX(0,((T22/S22)*(1-Param.Teilfreistellung)-MIN(AF22,AG22)/AG22)*Param.KapSt))))</f>
        <v>0</v>
      </c>
      <c r="AI22" s="40">
        <f>AH22-AG22</f>
        <v>0</v>
      </c>
      <c r="AJ22" s="40">
        <f>T22-AH22*(T22/S22)</f>
        <v>559423.191872072988</v>
      </c>
      <c r="AK22" s="40">
        <f>S22-AH22</f>
        <v>838923.19187206903</v>
      </c>
      <c r="AL22" s="40">
        <f>FV(AO22,12,-(U22/12),-AK22,0)</f>
        <v>895421.847555378801</v>
      </c>
      <c r="AM22" s="40">
        <f>AJ22+AL22-AK22-U22</f>
        <v>609921.847555381013</v>
      </c>
      <c r="AN22" s="5">
        <f>AM22/AL22</f>
        <v>0.681155869962910643</v>
      </c>
      <c r="AO22" s="5">
        <f aca="1">(1+IF(AND(A22&gt;=Param.DepotRenditeSpezBeginn1,A22&lt;=Param.DepotRenditeSpezEnde1),Param.DepotRenditeSpezProz1,IF(AND(A22&gt;=Param.DepotRenditeSpezBeginn2,A22&lt;=Param.DepotRenditeSpezEnde2),Param.DepotRenditeSpezProz2,IF(AND(A22&gt;=Param.DepotRenditeSpezBeginn3,A22&lt;=Param.DepotRenditeSpezEnde3),Param.DepotRenditeSpezProz3,IF(AND(A22&gt;=Param.DepotRenditeSpezBeginn4,A22&lt;=Param.DepotRenditeSpezEnde4),Param.DepotRenditeSpezProz4,IF(AND(A22&gt;=Param.DepotRenditeSpezBeginn5,A22&lt;=Param.DepotRenditeSpezEnde5),Param.DepotRenditeSpezProz5,Param.DepotRenditeDefault))))))^(1/12)-1</f>
        <v>0.00486755056533993979</v>
      </c>
      <c r="AP22" s="40">
        <f>BJ21</f>
        <v>291430.264234425558</v>
      </c>
      <c r="AQ22" s="40">
        <f aca="1">IF(A22&lt;Param.FireStartjahr,Param.SparrateFestgeldMonatl*12*(1+Param.SparrateDynamikJaehrl)^($A22-Param.Startjahr),0)</f>
        <v>1800</v>
      </c>
      <c r="AR22" s="40">
        <f>O22</f>
        <v>0</v>
      </c>
      <c r="AS22" s="40">
        <f aca="1">IF(AND(Param.SonstigEinmaligKonto1="Festgeld",$A22=Param.SonstigEinmaligJahr1),Param.SonstigEinmaligBetrag1,0)</f>
        <v>0</v>
      </c>
      <c r="AT22" s="40">
        <f aca="1">IF(AND(Param.SonstigEinmaligKonto2="Festgeld",$A22=Param.SonstigEinmaligJahr2),Param.SonstigEinmaligBetrag2,0)</f>
        <v>0</v>
      </c>
      <c r="AU22" s="40">
        <f aca="1">IF(AND(Param.SonstigEinmaligKonto3="Festgeld",$A22=Param.SonstigEinmaligJahr3),Param.SonstigEinmaligBetrag3,0)</f>
        <v>0</v>
      </c>
      <c r="AV22" s="40">
        <f aca="1">IF(AND(Param.SonstigEinmaligKonto4="Festgeld",$A22=Param.SonstigEinmaligJahr4),Param.SonstigEinmaligBetrag4,0)</f>
        <v>0</v>
      </c>
      <c r="AW22" s="40">
        <f aca="1">IF(AND(Param.SonstigEinmaligKonto5="Festgeld",$A22=Param.SonstigEinmaligJahr5),Param.SonstigEinmaligBetrag5,0)</f>
        <v>0</v>
      </c>
      <c r="AX22" s="40">
        <f aca="1">IF(AND(Param.SonstigEinmaligKonto6="Festgeld",$A22=Param.SonstigEinmaligJahr6),Param.SonstigEinmaligBetrag6,0)</f>
        <v>0</v>
      </c>
      <c r="AY22" s="40">
        <f aca="1">IF(AND(Param.SonstigEinmaligKonto7="Festgeld",$A22=Param.SonstigEinmaligJahr7),Param.SonstigEinmaligBetrag7,0)</f>
        <v>0</v>
      </c>
      <c r="AZ22" s="40">
        <f aca="1">IF(AND(Param.SonstigEinmaligKonto8="Festgeld",$A22=Param.SonstigEinmaligJahr8),Param.SonstigEinmaligBetrag8,0)</f>
        <v>0</v>
      </c>
      <c r="BA22" s="40">
        <f aca="1">IF(AND(Param.SonstigEinmaligKonto9="Festgeld",$A22=Param.SonstigEinmaligJahr9),Param.SonstigEinmaligBetrag9,0)</f>
        <v>0</v>
      </c>
      <c r="BB22" s="40">
        <f aca="1">IF(AND(Param.SonstigEinmaligKonto10="Festgeld",$A22=Param.SonstigEinmaligJahr10),Param.SonstigEinmaligBetrag10,0)</f>
        <v>0</v>
      </c>
      <c r="BC22" s="40">
        <f aca="1">IF(AND(A22&gt;=Param.FireStartjahr,AP22&gt;0),MIN(N22*R22,AP22),0)</f>
        <v>0</v>
      </c>
      <c r="BD22" s="5">
        <f aca="1">Param.FestgeldZinssatz</f>
        <v>0.02</v>
      </c>
      <c r="BE22" s="40">
        <f>(AP22+AQ22-BC22)*BD22</f>
        <v>5864.60528468852044</v>
      </c>
      <c r="BF22" s="40">
        <f aca="1">IF(BE22&gt;Param.SparerPauschbetrag,Param.SparerPauschbetrag,BE22)</f>
        <v>1000</v>
      </c>
      <c r="BG22" s="40">
        <f>BE22-BF22</f>
        <v>4864.60528468852044</v>
      </c>
      <c r="BH22" s="40">
        <f aca="1">BG22*Param.KapSt</f>
        <v>1283.03964383659718</v>
      </c>
      <c r="BI22" s="40">
        <f>BE22-BH22</f>
        <v>4581.56564085192076</v>
      </c>
      <c r="BJ22" s="63">
        <f>AP22+SUM(AQ22:BB22)-BC22+BI22</f>
        <v>297811.829875277937</v>
      </c>
      <c r="BK22" s="40">
        <f>AL22+BJ22</f>
        <v>1193233.67743065697</v>
      </c>
      <c r="BL22" s="40">
        <f aca="1">BK22/(1+Param.Inflationsrate)^(A22-Param.Startjahr)</f>
        <v>784187.274742358015</v>
      </c>
      <c r="BM22" s="52" t="str">
        <f>IF(BK22&lt;N22,A22,"")</f>
        <v/>
      </c>
      <c r="BN22" s="40">
        <f>AH22+BC22</f>
        <v>0</v>
      </c>
      <c r="BO22" s="40">
        <f>SUM(AR22:BB22)</f>
        <v>0</v>
      </c>
      <c r="BP22" s="40">
        <f>BN22+(-1*BO22)</f>
        <v>0</v>
      </c>
      <c r="BQ22" s="40">
        <f>AI22+BH22</f>
        <v>1283.03964383659991</v>
      </c>
      <c r="BR22" s="5">
        <f>IF(BK22&gt;0,BP22/BK22,0)</f>
        <v>0</v>
      </c>
    </row>
    <row r="23" spans="1:70">
      <c r="A23">
        <f>A22+1</f>
        <v>2044</v>
      </c>
      <c r="B23">
        <f>B5+(19-1)</f>
        <v>48</v>
      </c>
      <c r="C23" s="10">
        <f aca="1">IF(A23&lt;Param.FireStartjahr,0,Param.EntnahmeBetragStart*(1+Param.Inflationsrate)^(A23-Param.Startjahr))</f>
        <v>0</v>
      </c>
      <c r="D23" s="40">
        <f aca="1">IF(OR($A23&lt;Param.SonstigRegelmJahrBeginn1,$A23&gt;Param.SonstigRegelmJahrEnd1),0,Param.SonstigRegelmBetragJaehrl1*(1+Param.SonstigRegelmSteig1)^(A23-Param.SonstigRegelmJahrBeginn1))</f>
        <v>0</v>
      </c>
      <c r="E23" s="40">
        <f aca="1">IF(OR($A23&lt;Param.SonstigRegelmJahrBeginn2,$A23&gt;Param.SonstigRegelmJahrEnd2),0,Param.SonstigRegelmBetragJaehrl2*(1+Param.SonstigRegelmSteig2)^($A23-Param.SonstigRegelmJahrBeginn2))</f>
        <v>0</v>
      </c>
      <c r="F23" s="40">
        <f aca="1">IF(OR($A23&lt;Param.SonstigRegelmJahrBeginn3,$A23&gt;Param.SonstigRegelmJahrEnd3),0,Param.SonstigRegelmBetragJaehrl3*(1+Param.SonstigRegelmSteig3)^($A23-Param.SonstigRegelmJahrBeginn3))</f>
        <v>0</v>
      </c>
      <c r="G23" s="40">
        <f aca="1">IF(OR($A23&lt;Param.SonstigRegelmJahrBeginn4,$A23&gt;Param.SonstigRegelmJahrEnd4),0,Param.SonstigRegelmBetragJaehrl4*(1+Param.SonstigRegelmSteig4)^($A23-Param.SonstigRegelmJahrBeginn4))</f>
        <v>0</v>
      </c>
      <c r="H23" s="40">
        <f aca="1">IF(OR($A23&lt;Param.SonstigRegelmJahrBeginn5,$A23&gt;Param.SonstigRegelmJahrEnd5),0,Param.SonstigRegelmBetragJaehrl5*(1+Param.SonstigRegelmSteig5)^($A23-Param.SonstigRegelmJahrBeginn5))</f>
        <v>0</v>
      </c>
      <c r="I23" s="40">
        <f aca="1">IF(OR($A23&lt;Param.SonstigRegelmJahrBeginn6,$A23&gt;Param.SonstigRegelmJahrEnd6),0,Param.SonstigRegelmBetragJaehrl6*(1+Param.SonstigRegelmSteig6)^($A23-Param.SonstigRegelmJahrBeginn6))</f>
        <v>0</v>
      </c>
      <c r="J23" s="40">
        <f aca="1">IF(OR($A23&lt;Param.SonstigRegelmJahrBeginn7,$A23&gt;Param.SonstigRegelmJahrEnd7),0,Param.SonstigRegelmBetragJaehrl7*(1+Param.SonstigRegelmSteig7)^($A23-Param.SonstigRegelmJahrBeginn7))</f>
        <v>0</v>
      </c>
      <c r="K23" s="40">
        <f aca="1">IF(OR($A23&lt;Param.SonstigRegelmJahrBeginn8,$A23&gt;Param.SonstigRegelmJahrEnd8),0,Param.SonstigRegelmBetragJaehrl8*(1+Param.SonstigRegelmSteig8)^($A23-Param.SonstigRegelmJahrBeginn8))</f>
        <v>0</v>
      </c>
      <c r="L23" s="40">
        <f aca="1">IF(OR($A23&lt;Param.SonstigRegelmJahrBeginn9,$A23&gt;Param.SonstigRegelmJahrEnd9),0,Param.SonstigRegelmBetragJaehrl9*(1+Param.SonstigRegelmSteig9)^($A23-Param.SonstigRegelmJahrBeginn9))</f>
        <v>0</v>
      </c>
      <c r="M23" s="40">
        <f aca="1">IF(OR($A23&lt;Param.SonstigRegelmJahrBeginn10,$A23&gt;Param.SonstigRegelmJahrEnd10),0,Param.SonstigRegelmBetragJaehrl10*(1+Param.SonstigRegelmSteig10)^($A23-Param.SonstigRegelmJahrBeginn10))</f>
        <v>0</v>
      </c>
      <c r="N23" s="10">
        <f>MAX(0,C23-SUM(D23:M23))</f>
        <v>0</v>
      </c>
      <c r="O23" s="10">
        <f>IF(N23&lt;=0,SUM(D23:M23)-C23,0)</f>
        <v>0</v>
      </c>
      <c r="P23" s="10">
        <f>S23+AP23</f>
        <v>1193233.67743065697</v>
      </c>
      <c r="Q23" s="11">
        <f>IF(P23&gt;0,S23/P23,0)</f>
        <v>0.75041617119243007</v>
      </c>
      <c r="R23" s="11">
        <f>IF(P23&gt;0,AP23/P23,0)</f>
        <v>0.249583828807567443</v>
      </c>
      <c r="S23" s="10">
        <f>AL22</f>
        <v>895421.847555378801</v>
      </c>
      <c r="T23" s="40">
        <f>AM22</f>
        <v>609921.847555381013</v>
      </c>
      <c r="U23" s="40">
        <f aca="1">IF(A23&lt;Param.FireStartjahr,Param.SparrateDepotMonatl*12*(1+Param.SparrateDynamikJaehrl)^($A23-Param.Startjahr),0)</f>
        <v>6000</v>
      </c>
      <c r="V23" s="40">
        <f aca="1">IF(AND(Param.SonstigEinmaligKonto1="Depot",$A23=Param.SonstigEinmaligJahr1),Param.SonstigEinmaligBetrag1,0)</f>
        <v>0</v>
      </c>
      <c r="W23" s="40">
        <f aca="1">IF(AND(Param.SonstigEinmaligKonto2="Depot",$A23=Param.SonstigEinmaligJahr2),Param.SonstigEinmaligBetrag2,0)</f>
        <v>0</v>
      </c>
      <c r="X23" s="40">
        <f aca="1">IF(AND(Param.SonstigEinmaligKonto3="Depot",$A23=Param.SonstigEinmaligJahr3),Param.SonstigEinmaligBetrag3,0)</f>
        <v>0</v>
      </c>
      <c r="Y23" s="40">
        <f aca="1">IF(AND(Param.SonstigEinmaligKonto4="Depot",$A23=Param.SonstigEinmaligJahr4),Param.SonstigEinmaligBetrag4,0)</f>
        <v>0</v>
      </c>
      <c r="Z23" s="40">
        <f aca="1">IF(AND(Param.SonstigEinmaligKonto5="Depot",$A23=Param.SonstigEinmaligJahr5),Param.SonstigEinmaligBetrag5,0)</f>
        <v>0</v>
      </c>
      <c r="AA23" s="40">
        <f aca="1">IF(AND(Param.SonstigEinmaligKonto6="Depot",$A23=Param.SonstigEinmaligJahr6),Param.SonstigEinmaligBetrag6,0)</f>
        <v>0</v>
      </c>
      <c r="AB23" s="40">
        <f aca="1">IF(AND(Param.SonstigEinmaligKonto7="Depot",$A23=Param.SonstigEinmaligJahr7),Param.SonstigEinmaligBetrag7,0)</f>
        <v>0</v>
      </c>
      <c r="AC23" s="40">
        <f aca="1">IF(AND(Param.SonstigEinmaligKonto8="Depot",$A23=Param.SonstigEinmaligJahr8),Param.SonstigEinmaligBetrag8,0)</f>
        <v>0</v>
      </c>
      <c r="AD23" s="40">
        <f aca="1">IF(AND(Param.SonstigEinmaligKonto9="Depot",$A23=Param.SonstigEinmaligJahr9),Param.SonstigEinmaligBetrag9,0)</f>
        <v>0</v>
      </c>
      <c r="AE23" s="40">
        <f aca="1">IF(AND(Param.SonstigEinmaligKonto10="Depot",$A23=Param.SonstigEinmaligJahr10),Param.SonstigEinmaligBetrag10,0)</f>
        <v>0</v>
      </c>
      <c r="AF23" s="40">
        <f aca="1">Param.SparerPauschbetrag-BF23</f>
        <v>0</v>
      </c>
      <c r="AG23" s="40">
        <f aca="1">IF(AND(A23&gt;=Param.FireStartjahr,S23&gt;0),MIN(N23*Q23,S23),0)</f>
        <v>0</v>
      </c>
      <c r="AH23" s="40">
        <f aca="1">IF(AG23&lt;=0,0,IF(S23&lt;=0,0,AG23/(1-MAX(0,((T23/S23)*(1-Param.Teilfreistellung)-MIN(AF23,AG23)/AG23)*Param.KapSt))))</f>
        <v>0</v>
      </c>
      <c r="AI23" s="40">
        <f>AH23-AG23</f>
        <v>0</v>
      </c>
      <c r="AJ23" s="40">
        <f>T23-AH23*(T23/S23)</f>
        <v>609921.847555381013</v>
      </c>
      <c r="AK23" s="40">
        <f>S23-AH23</f>
        <v>895421.847555379034</v>
      </c>
      <c r="AL23" s="40">
        <f>FV(AO23,12,-(U23/12),-AK23,0)</f>
        <v>955310.42257968511</v>
      </c>
      <c r="AM23" s="40">
        <f>AJ23+AL23-AK23-U23</f>
        <v>663810.422579691047</v>
      </c>
      <c r="AN23" s="5">
        <f>AM23/AL23</f>
        <v>0.694863582443874073</v>
      </c>
      <c r="AO23" s="5">
        <f aca="1">(1+IF(AND(A23&gt;=Param.DepotRenditeSpezBeginn1,A23&lt;=Param.DepotRenditeSpezEnde1),Param.DepotRenditeSpezProz1,IF(AND(A23&gt;=Param.DepotRenditeSpezBeginn2,A23&lt;=Param.DepotRenditeSpezEnde2),Param.DepotRenditeSpezProz2,IF(AND(A23&gt;=Param.DepotRenditeSpezBeginn3,A23&lt;=Param.DepotRenditeSpezEnde3),Param.DepotRenditeSpezProz3,IF(AND(A23&gt;=Param.DepotRenditeSpezBeginn4,A23&lt;=Param.DepotRenditeSpezEnde4),Param.DepotRenditeSpezProz4,IF(AND(A23&gt;=Param.DepotRenditeSpezBeginn5,A23&lt;=Param.DepotRenditeSpezEnde5),Param.DepotRenditeSpezProz5,Param.DepotRenditeDefault))))))^(1/12)-1</f>
        <v>0.00486755056533993979</v>
      </c>
      <c r="AP23" s="40">
        <f>BJ22</f>
        <v>297811.829875277937</v>
      </c>
      <c r="AQ23" s="40">
        <f aca="1">IF(A23&lt;Param.FireStartjahr,Param.SparrateFestgeldMonatl*12*(1+Param.SparrateDynamikJaehrl)^($A23-Param.Startjahr),0)</f>
        <v>1800</v>
      </c>
      <c r="AR23" s="40">
        <f>O23</f>
        <v>0</v>
      </c>
      <c r="AS23" s="40">
        <f aca="1">IF(AND(Param.SonstigEinmaligKonto1="Festgeld",$A23=Param.SonstigEinmaligJahr1),Param.SonstigEinmaligBetrag1,0)</f>
        <v>0</v>
      </c>
      <c r="AT23" s="40">
        <f aca="1">IF(AND(Param.SonstigEinmaligKonto2="Festgeld",$A23=Param.SonstigEinmaligJahr2),Param.SonstigEinmaligBetrag2,0)</f>
        <v>0</v>
      </c>
      <c r="AU23" s="40">
        <f aca="1">IF(AND(Param.SonstigEinmaligKonto3="Festgeld",$A23=Param.SonstigEinmaligJahr3),Param.SonstigEinmaligBetrag3,0)</f>
        <v>0</v>
      </c>
      <c r="AV23" s="40">
        <f aca="1">IF(AND(Param.SonstigEinmaligKonto4="Festgeld",$A23=Param.SonstigEinmaligJahr4),Param.SonstigEinmaligBetrag4,0)</f>
        <v>0</v>
      </c>
      <c r="AW23" s="40">
        <f aca="1">IF(AND(Param.SonstigEinmaligKonto5="Festgeld",$A23=Param.SonstigEinmaligJahr5),Param.SonstigEinmaligBetrag5,0)</f>
        <v>0</v>
      </c>
      <c r="AX23" s="40">
        <f aca="1">IF(AND(Param.SonstigEinmaligKonto6="Festgeld",$A23=Param.SonstigEinmaligJahr6),Param.SonstigEinmaligBetrag6,0)</f>
        <v>0</v>
      </c>
      <c r="AY23" s="40">
        <f aca="1">IF(AND(Param.SonstigEinmaligKonto7="Festgeld",$A23=Param.SonstigEinmaligJahr7),Param.SonstigEinmaligBetrag7,0)</f>
        <v>0</v>
      </c>
      <c r="AZ23" s="40">
        <f aca="1">IF(AND(Param.SonstigEinmaligKonto8="Festgeld",$A23=Param.SonstigEinmaligJahr8),Param.SonstigEinmaligBetrag8,0)</f>
        <v>0</v>
      </c>
      <c r="BA23" s="40">
        <f aca="1">IF(AND(Param.SonstigEinmaligKonto9="Festgeld",$A23=Param.SonstigEinmaligJahr9),Param.SonstigEinmaligBetrag9,0)</f>
        <v>0</v>
      </c>
      <c r="BB23" s="40">
        <f aca="1">IF(AND(Param.SonstigEinmaligKonto10="Festgeld",$A23=Param.SonstigEinmaligJahr10),Param.SonstigEinmaligBetrag10,0)</f>
        <v>0</v>
      </c>
      <c r="BC23" s="40">
        <f aca="1">IF(AND(A23&gt;=Param.FireStartjahr,AP23&gt;0),MIN(N23*R23,AP23),0)</f>
        <v>0</v>
      </c>
      <c r="BD23" s="5">
        <f aca="1">Param.FestgeldZinssatz</f>
        <v>0.02</v>
      </c>
      <c r="BE23" s="40">
        <f>(AP23+AQ23-BC23)*BD23</f>
        <v>5992.23659750555998</v>
      </c>
      <c r="BF23" s="40">
        <f aca="1">IF(BE23&gt;Param.SparerPauschbetrag,Param.SparerPauschbetrag,BE23)</f>
        <v>1000</v>
      </c>
      <c r="BG23" s="40">
        <f>BE23-BF23</f>
        <v>4992.23659750555998</v>
      </c>
      <c r="BH23" s="40">
        <f aca="1">BG23*Param.KapSt</f>
        <v>1316.7024025920914</v>
      </c>
      <c r="BI23" s="40">
        <f>BE23-BH23</f>
        <v>4675.53419491346995</v>
      </c>
      <c r="BJ23" s="63">
        <f>AP23+SUM(AQ23:BB23)-BC23+BI23</f>
        <v>304287.364070191456</v>
      </c>
      <c r="BK23" s="40">
        <f>AL23+BJ23</f>
        <v>1259597.78664987697</v>
      </c>
      <c r="BL23" s="40">
        <f aca="1">BK23/(1+Param.Inflationsrate)^(A23-Param.Startjahr)</f>
        <v>807611.160281357006</v>
      </c>
      <c r="BM23" s="52" t="str">
        <f>IF(BK23&lt;N23,A23,"")</f>
        <v/>
      </c>
      <c r="BN23" s="40">
        <f>AH23+BC23</f>
        <v>0</v>
      </c>
      <c r="BO23" s="40">
        <f>SUM(AR23:BB23)</f>
        <v>0</v>
      </c>
      <c r="BP23" s="40">
        <f>BN23+(-1*BO23)</f>
        <v>0</v>
      </c>
      <c r="BQ23" s="40">
        <f>AI23+BH23</f>
        <v>1316.70240259209004</v>
      </c>
      <c r="BR23" s="5">
        <f>IF(BK23&gt;0,BP23/BK23,0)</f>
        <v>0</v>
      </c>
    </row>
    <row r="24" spans="1:70">
      <c r="A24">
        <f>A23+1</f>
        <v>2045</v>
      </c>
      <c r="B24">
        <f>B5+(20-1)</f>
        <v>49</v>
      </c>
      <c r="C24" s="10">
        <f aca="1">IF(A24&lt;Param.FireStartjahr,0,Param.EntnahmeBetragStart*(1+Param.Inflationsrate)^(A24-Param.Startjahr))</f>
        <v>47959.505569475099</v>
      </c>
      <c r="D24" s="40">
        <f aca="1">IF(OR($A24&lt;Param.SonstigRegelmJahrBeginn1,$A24&gt;Param.SonstigRegelmJahrEnd1),0,Param.SonstigRegelmBetragJaehrl1*(1+Param.SonstigRegelmSteig1)^(A24-Param.SonstigRegelmJahrBeginn1))</f>
        <v>0</v>
      </c>
      <c r="E24" s="40">
        <f aca="1">IF(OR($A24&lt;Param.SonstigRegelmJahrBeginn2,$A24&gt;Param.SonstigRegelmJahrEnd2),0,Param.SonstigRegelmBetragJaehrl2*(1+Param.SonstigRegelmSteig2)^($A24-Param.SonstigRegelmJahrBeginn2))</f>
        <v>-7200</v>
      </c>
      <c r="F24" s="40">
        <f aca="1">IF(OR($A24&lt;Param.SonstigRegelmJahrBeginn3,$A24&gt;Param.SonstigRegelmJahrEnd3),0,Param.SonstigRegelmBetragJaehrl3*(1+Param.SonstigRegelmSteig3)^($A24-Param.SonstigRegelmJahrBeginn3))</f>
        <v>0</v>
      </c>
      <c r="G24" s="40">
        <f aca="1">IF(OR($A24&lt;Param.SonstigRegelmJahrBeginn4,$A24&gt;Param.SonstigRegelmJahrEnd4),0,Param.SonstigRegelmBetragJaehrl4*(1+Param.SonstigRegelmSteig4)^($A24-Param.SonstigRegelmJahrBeginn4))</f>
        <v>0</v>
      </c>
      <c r="H24" s="40">
        <f aca="1">IF(OR($A24&lt;Param.SonstigRegelmJahrBeginn5,$A24&gt;Param.SonstigRegelmJahrEnd5),0,Param.SonstigRegelmBetragJaehrl5*(1+Param.SonstigRegelmSteig5)^($A24-Param.SonstigRegelmJahrBeginn5))</f>
        <v>0</v>
      </c>
      <c r="I24" s="40">
        <f aca="1">IF(OR($A24&lt;Param.SonstigRegelmJahrBeginn6,$A24&gt;Param.SonstigRegelmJahrEnd6),0,Param.SonstigRegelmBetragJaehrl6*(1+Param.SonstigRegelmSteig6)^($A24-Param.SonstigRegelmJahrBeginn6))</f>
        <v>0</v>
      </c>
      <c r="J24" s="40">
        <f aca="1">IF(OR($A24&lt;Param.SonstigRegelmJahrBeginn7,$A24&gt;Param.SonstigRegelmJahrEnd7),0,Param.SonstigRegelmBetragJaehrl7*(1+Param.SonstigRegelmSteig7)^($A24-Param.SonstigRegelmJahrBeginn7))</f>
        <v>0</v>
      </c>
      <c r="K24" s="40">
        <f aca="1">IF(OR($A24&lt;Param.SonstigRegelmJahrBeginn8,$A24&gt;Param.SonstigRegelmJahrEnd8),0,Param.SonstigRegelmBetragJaehrl8*(1+Param.SonstigRegelmSteig8)^($A24-Param.SonstigRegelmJahrBeginn8))</f>
        <v>0</v>
      </c>
      <c r="L24" s="40">
        <f aca="1">IF(OR($A24&lt;Param.SonstigRegelmJahrBeginn9,$A24&gt;Param.SonstigRegelmJahrEnd9),0,Param.SonstigRegelmBetragJaehrl9*(1+Param.SonstigRegelmSteig9)^($A24-Param.SonstigRegelmJahrBeginn9))</f>
        <v>0</v>
      </c>
      <c r="M24" s="40">
        <f aca="1">IF(OR($A24&lt;Param.SonstigRegelmJahrBeginn10,$A24&gt;Param.SonstigRegelmJahrEnd10),0,Param.SonstigRegelmBetragJaehrl10*(1+Param.SonstigRegelmSteig10)^($A24-Param.SonstigRegelmJahrBeginn10))</f>
        <v>0</v>
      </c>
      <c r="N24" s="10">
        <f>MAX(0,C24-SUM(D24:M24))</f>
        <v>55159.505569475099</v>
      </c>
      <c r="O24" s="10">
        <f>IF(N24&lt;=0,SUM(D24:M24)-C24,0)</f>
        <v>0</v>
      </c>
      <c r="P24" s="10">
        <f>S24+AP24</f>
        <v>1259597.78664987697</v>
      </c>
      <c r="Q24" s="11">
        <f>IF(P24&gt;0,S24/P24,0)</f>
        <v>0.758424977167115877</v>
      </c>
      <c r="R24" s="11">
        <f>IF(P24&gt;0,AP24/P24,0)</f>
        <v>0.241575022832881681</v>
      </c>
      <c r="S24" s="10">
        <f>AL23</f>
        <v>955310.42257968511</v>
      </c>
      <c r="T24" s="40">
        <f>AM23</f>
        <v>663810.422579691047</v>
      </c>
      <c r="U24" s="40">
        <f aca="1">IF(A24&lt;Param.FireStartjahr,Param.SparrateDepotMonatl*12*(1+Param.SparrateDynamikJaehrl)^($A24-Param.Startjahr),0)</f>
        <v>0</v>
      </c>
      <c r="V24" s="40">
        <f aca="1">IF(AND(Param.SonstigEinmaligKonto1="Depot",$A24=Param.SonstigEinmaligJahr1),Param.SonstigEinmaligBetrag1,0)</f>
        <v>0</v>
      </c>
      <c r="W24" s="40">
        <f aca="1">IF(AND(Param.SonstigEinmaligKonto2="Depot",$A24=Param.SonstigEinmaligJahr2),Param.SonstigEinmaligBetrag2,0)</f>
        <v>0</v>
      </c>
      <c r="X24" s="40">
        <f aca="1">IF(AND(Param.SonstigEinmaligKonto3="Depot",$A24=Param.SonstigEinmaligJahr3),Param.SonstigEinmaligBetrag3,0)</f>
        <v>0</v>
      </c>
      <c r="Y24" s="40">
        <f aca="1">IF(AND(Param.SonstigEinmaligKonto4="Depot",$A24=Param.SonstigEinmaligJahr4),Param.SonstigEinmaligBetrag4,0)</f>
        <v>0</v>
      </c>
      <c r="Z24" s="40">
        <f aca="1">IF(AND(Param.SonstigEinmaligKonto5="Depot",$A24=Param.SonstigEinmaligJahr5),Param.SonstigEinmaligBetrag5,0)</f>
        <v>0</v>
      </c>
      <c r="AA24" s="40">
        <f aca="1">IF(AND(Param.SonstigEinmaligKonto6="Depot",$A24=Param.SonstigEinmaligJahr6),Param.SonstigEinmaligBetrag6,0)</f>
        <v>0</v>
      </c>
      <c r="AB24" s="40">
        <f aca="1">IF(AND(Param.SonstigEinmaligKonto7="Depot",$A24=Param.SonstigEinmaligJahr7),Param.SonstigEinmaligBetrag7,0)</f>
        <v>0</v>
      </c>
      <c r="AC24" s="40">
        <f aca="1">IF(AND(Param.SonstigEinmaligKonto8="Depot",$A24=Param.SonstigEinmaligJahr8),Param.SonstigEinmaligBetrag8,0)</f>
        <v>0</v>
      </c>
      <c r="AD24" s="40">
        <f aca="1">IF(AND(Param.SonstigEinmaligKonto9="Depot",$A24=Param.SonstigEinmaligJahr9),Param.SonstigEinmaligBetrag9,0)</f>
        <v>0</v>
      </c>
      <c r="AE24" s="40">
        <f aca="1">IF(AND(Param.SonstigEinmaligKonto10="Depot",$A24=Param.SonstigEinmaligJahr10),Param.SonstigEinmaligBetrag10,0)</f>
        <v>0</v>
      </c>
      <c r="AF24" s="40">
        <f aca="1">Param.SparerPauschbetrag-BF24</f>
        <v>0</v>
      </c>
      <c r="AG24" s="40">
        <f aca="1">IF(AND(A24&gt;=Param.FireStartjahr,S24&gt;0),MIN(N24*Q24,S24),0)</f>
        <v>41834.3467520785562</v>
      </c>
      <c r="AH24" s="40">
        <f aca="1">IF(AG24&lt;=0,0,IF(S24&lt;=0,0,AG24/(1-MAX(0,((T24/S24)*(1-Param.Teilfreistellung)-MIN(AF24,AG24)/AG24)*Param.KapSt))))</f>
        <v>47991.0839923000749</v>
      </c>
      <c r="AI24" s="40">
        <f>AH24-AG24</f>
        <v>6156.7372402214969</v>
      </c>
      <c r="AJ24" s="40">
        <f>T24-AH24*(T24/S24)</f>
        <v>630463.166031436529</v>
      </c>
      <c r="AK24" s="40">
        <f>S24-AH24</f>
        <v>907319.338587384904</v>
      </c>
      <c r="AL24" s="40">
        <f>FV(AO24,12,-(U24/12),-AK24,0)</f>
        <v>970831.692288555903</v>
      </c>
      <c r="AM24" s="40">
        <f>AJ24+AL24-AK24-U24</f>
        <v>693975.519732604967</v>
      </c>
      <c r="AN24" s="5">
        <f>AM24/AL24</f>
        <v>0.714825777984942068</v>
      </c>
      <c r="AO24" s="5">
        <f aca="1">(1+IF(AND(A24&gt;=Param.DepotRenditeSpezBeginn1,A24&lt;=Param.DepotRenditeSpezEnde1),Param.DepotRenditeSpezProz1,IF(AND(A24&gt;=Param.DepotRenditeSpezBeginn2,A24&lt;=Param.DepotRenditeSpezEnde2),Param.DepotRenditeSpezProz2,IF(AND(A24&gt;=Param.DepotRenditeSpezBeginn3,A24&lt;=Param.DepotRenditeSpezEnde3),Param.DepotRenditeSpezProz3,IF(AND(A24&gt;=Param.DepotRenditeSpezBeginn4,A24&lt;=Param.DepotRenditeSpezEnde4),Param.DepotRenditeSpezProz4,IF(AND(A24&gt;=Param.DepotRenditeSpezBeginn5,A24&lt;=Param.DepotRenditeSpezEnde5),Param.DepotRenditeSpezProz5,Param.DepotRenditeDefault))))))^(1/12)-1</f>
        <v>0.00565414538740993677</v>
      </c>
      <c r="AP24" s="40">
        <f>BJ23</f>
        <v>304287.364070191456</v>
      </c>
      <c r="AQ24" s="40">
        <f aca="1">IF(A24&lt;Param.FireStartjahr,Param.SparrateFestgeldMonatl*12*(1+Param.SparrateDynamikJaehrl)^($A24-Param.Startjahr),0)</f>
        <v>0</v>
      </c>
      <c r="AR24" s="40">
        <f>O24</f>
        <v>0</v>
      </c>
      <c r="AS24" s="40">
        <f aca="1">IF(AND(Param.SonstigEinmaligKonto1="Festgeld",$A24=Param.SonstigEinmaligJahr1),Param.SonstigEinmaligBetrag1,0)</f>
        <v>0</v>
      </c>
      <c r="AT24" s="40">
        <f aca="1">IF(AND(Param.SonstigEinmaligKonto2="Festgeld",$A24=Param.SonstigEinmaligJahr2),Param.SonstigEinmaligBetrag2,0)</f>
        <v>0</v>
      </c>
      <c r="AU24" s="40">
        <f aca="1">IF(AND(Param.SonstigEinmaligKonto3="Festgeld",$A24=Param.SonstigEinmaligJahr3),Param.SonstigEinmaligBetrag3,0)</f>
        <v>0</v>
      </c>
      <c r="AV24" s="40">
        <f aca="1">IF(AND(Param.SonstigEinmaligKonto4="Festgeld",$A24=Param.SonstigEinmaligJahr4),Param.SonstigEinmaligBetrag4,0)</f>
        <v>0</v>
      </c>
      <c r="AW24" s="40">
        <f aca="1">IF(AND(Param.SonstigEinmaligKonto5="Festgeld",$A24=Param.SonstigEinmaligJahr5),Param.SonstigEinmaligBetrag5,0)</f>
        <v>0</v>
      </c>
      <c r="AX24" s="40">
        <f aca="1">IF(AND(Param.SonstigEinmaligKonto6="Festgeld",$A24=Param.SonstigEinmaligJahr6),Param.SonstigEinmaligBetrag6,0)</f>
        <v>0</v>
      </c>
      <c r="AY24" s="40">
        <f aca="1">IF(AND(Param.SonstigEinmaligKonto7="Festgeld",$A24=Param.SonstigEinmaligJahr7),Param.SonstigEinmaligBetrag7,0)</f>
        <v>0</v>
      </c>
      <c r="AZ24" s="40">
        <f aca="1">IF(AND(Param.SonstigEinmaligKonto8="Festgeld",$A24=Param.SonstigEinmaligJahr8),Param.SonstigEinmaligBetrag8,0)</f>
        <v>0</v>
      </c>
      <c r="BA24" s="40">
        <f aca="1">IF(AND(Param.SonstigEinmaligKonto9="Festgeld",$A24=Param.SonstigEinmaligJahr9),Param.SonstigEinmaligBetrag9,0)</f>
        <v>0</v>
      </c>
      <c r="BB24" s="40">
        <f aca="1">IF(AND(Param.SonstigEinmaligKonto10="Festgeld",$A24=Param.SonstigEinmaligJahr10),Param.SonstigEinmaligBetrag10,0)</f>
        <v>0</v>
      </c>
      <c r="BC24" s="40">
        <f aca="1">IF(AND(A24&gt;=Param.FireStartjahr,AP24&gt;0),MIN(N24*R24,AP24),0)</f>
        <v>13325.1588173964301</v>
      </c>
      <c r="BD24" s="5">
        <f aca="1">Param.FestgeldZinssatz</f>
        <v>0.02</v>
      </c>
      <c r="BE24" s="40">
        <f>(AP24+AQ24-BC24)*BD24</f>
        <v>5819.24410505592004</v>
      </c>
      <c r="BF24" s="40">
        <f aca="1">IF(BE24&gt;Param.SparerPauschbetrag,Param.SparerPauschbetrag,BE24)</f>
        <v>1000</v>
      </c>
      <c r="BG24" s="40">
        <f>BE24-BF24</f>
        <v>4819.24410505592004</v>
      </c>
      <c r="BH24" s="40">
        <f aca="1">BG24*Param.KapSt</f>
        <v>1271.07563270849892</v>
      </c>
      <c r="BI24" s="40">
        <f>BE24-BH24</f>
        <v>4548.16847234741999</v>
      </c>
      <c r="BJ24" s="63">
        <f>AP24+SUM(AQ24:BB24)-BC24+BI24</f>
        <v>295510.373725143436</v>
      </c>
      <c r="BK24" s="40">
        <f>AL24+BJ24</f>
        <v>1266342.06601369893</v>
      </c>
      <c r="BL24" s="40">
        <f aca="1">BK24/(1+Param.Inflationsrate)^(A24-Param.Startjahr)</f>
        <v>792132.060773177654</v>
      </c>
      <c r="BM24" s="52" t="str">
        <f>IF(BK24&lt;N24,A24,"")</f>
        <v/>
      </c>
      <c r="BN24" s="40">
        <f>AH24+BC24</f>
        <v>61316.2428096964941</v>
      </c>
      <c r="BO24" s="40">
        <f>SUM(AR24:BB24)</f>
        <v>0</v>
      </c>
      <c r="BP24" s="40">
        <f>BN24+(-1*BO24)</f>
        <v>61316.2428096965014</v>
      </c>
      <c r="BQ24" s="40">
        <f>AI24+BH24</f>
        <v>7427.81287292999968</v>
      </c>
      <c r="BR24" s="5">
        <f>IF(BK24&gt;0,BP24/BK24,0)</f>
        <v>0.0484199683918840496</v>
      </c>
    </row>
    <row r="25" spans="1:70">
      <c r="A25">
        <f>A24+1</f>
        <v>2046</v>
      </c>
      <c r="B25">
        <f>B5+(21-1)</f>
        <v>50</v>
      </c>
      <c r="C25" s="10">
        <f aca="1">IF(A25&lt;Param.FireStartjahr,0,Param.EntnahmeBetragStart*(1+Param.Inflationsrate)^(A25-Param.Startjahr))</f>
        <v>49158.4932087116977</v>
      </c>
      <c r="D25" s="40">
        <f aca="1">IF(OR($A25&lt;Param.SonstigRegelmJahrBeginn1,$A25&gt;Param.SonstigRegelmJahrEnd1),0,Param.SonstigRegelmBetragJaehrl1*(1+Param.SonstigRegelmSteig1)^(A25-Param.SonstigRegelmJahrBeginn1))</f>
        <v>0</v>
      </c>
      <c r="E25" s="40">
        <f aca="1">IF(OR($A25&lt;Param.SonstigRegelmJahrBeginn2,$A25&gt;Param.SonstigRegelmJahrEnd2),0,Param.SonstigRegelmBetragJaehrl2*(1+Param.SonstigRegelmSteig2)^($A25-Param.SonstigRegelmJahrBeginn2))</f>
        <v>-7344</v>
      </c>
      <c r="F25" s="40">
        <f aca="1">IF(OR($A25&lt;Param.SonstigRegelmJahrBeginn3,$A25&gt;Param.SonstigRegelmJahrEnd3),0,Param.SonstigRegelmBetragJaehrl3*(1+Param.SonstigRegelmSteig3)^($A25-Param.SonstigRegelmJahrBeginn3))</f>
        <v>0</v>
      </c>
      <c r="G25" s="40">
        <f aca="1">IF(OR($A25&lt;Param.SonstigRegelmJahrBeginn4,$A25&gt;Param.SonstigRegelmJahrEnd4),0,Param.SonstigRegelmBetragJaehrl4*(1+Param.SonstigRegelmSteig4)^($A25-Param.SonstigRegelmJahrBeginn4))</f>
        <v>0</v>
      </c>
      <c r="H25" s="40">
        <f aca="1">IF(OR($A25&lt;Param.SonstigRegelmJahrBeginn5,$A25&gt;Param.SonstigRegelmJahrEnd5),0,Param.SonstigRegelmBetragJaehrl5*(1+Param.SonstigRegelmSteig5)^($A25-Param.SonstigRegelmJahrBeginn5))</f>
        <v>0</v>
      </c>
      <c r="I25" s="40">
        <f aca="1">IF(OR($A25&lt;Param.SonstigRegelmJahrBeginn6,$A25&gt;Param.SonstigRegelmJahrEnd6),0,Param.SonstigRegelmBetragJaehrl6*(1+Param.SonstigRegelmSteig6)^($A25-Param.SonstigRegelmJahrBeginn6))</f>
        <v>0</v>
      </c>
      <c r="J25" s="40">
        <f aca="1">IF(OR($A25&lt;Param.SonstigRegelmJahrBeginn7,$A25&gt;Param.SonstigRegelmJahrEnd7),0,Param.SonstigRegelmBetragJaehrl7*(1+Param.SonstigRegelmSteig7)^($A25-Param.SonstigRegelmJahrBeginn7))</f>
        <v>0</v>
      </c>
      <c r="K25" s="40">
        <f aca="1">IF(OR($A25&lt;Param.SonstigRegelmJahrBeginn8,$A25&gt;Param.SonstigRegelmJahrEnd8),0,Param.SonstigRegelmBetragJaehrl8*(1+Param.SonstigRegelmSteig8)^($A25-Param.SonstigRegelmJahrBeginn8))</f>
        <v>0</v>
      </c>
      <c r="L25" s="40">
        <f aca="1">IF(OR($A25&lt;Param.SonstigRegelmJahrBeginn9,$A25&gt;Param.SonstigRegelmJahrEnd9),0,Param.SonstigRegelmBetragJaehrl9*(1+Param.SonstigRegelmSteig9)^($A25-Param.SonstigRegelmJahrBeginn9))</f>
        <v>0</v>
      </c>
      <c r="M25" s="40">
        <f aca="1">IF(OR($A25&lt;Param.SonstigRegelmJahrBeginn10,$A25&gt;Param.SonstigRegelmJahrEnd10),0,Param.SonstigRegelmBetragJaehrl10*(1+Param.SonstigRegelmSteig10)^($A25-Param.SonstigRegelmJahrBeginn10))</f>
        <v>0</v>
      </c>
      <c r="N25" s="10">
        <f>MAX(0,C25-SUM(D25:M25))</f>
        <v>56502.4932087116977</v>
      </c>
      <c r="O25" s="10">
        <f>IF(N25&lt;=0,SUM(D25:M25)-C25,0)</f>
        <v>0</v>
      </c>
      <c r="P25" s="10">
        <f>S25+AP25</f>
        <v>1266342.06601369893</v>
      </c>
      <c r="Q25" s="11">
        <f>IF(P25&gt;0,S25/P25,0)</f>
        <v>0.766642535491711996</v>
      </c>
      <c r="R25" s="11">
        <f>IF(P25&gt;0,AP25/P25,0)</f>
        <v>0.23335746450828716</v>
      </c>
      <c r="S25" s="10">
        <f>AL24</f>
        <v>970831.692288555903</v>
      </c>
      <c r="T25" s="40">
        <f>AM24</f>
        <v>693975.519732604967</v>
      </c>
      <c r="U25" s="40">
        <f aca="1">IF(A25&lt;Param.FireStartjahr,Param.SparrateDepotMonatl*12*(1+Param.SparrateDynamikJaehrl)^($A25-Param.Startjahr),0)</f>
        <v>0</v>
      </c>
      <c r="V25" s="40">
        <f aca="1">IF(AND(Param.SonstigEinmaligKonto1="Depot",$A25=Param.SonstigEinmaligJahr1),Param.SonstigEinmaligBetrag1,0)</f>
        <v>0</v>
      </c>
      <c r="W25" s="40">
        <f aca="1">IF(AND(Param.SonstigEinmaligKonto2="Depot",$A25=Param.SonstigEinmaligJahr2),Param.SonstigEinmaligBetrag2,0)</f>
        <v>0</v>
      </c>
      <c r="X25" s="40">
        <f aca="1">IF(AND(Param.SonstigEinmaligKonto3="Depot",$A25=Param.SonstigEinmaligJahr3),Param.SonstigEinmaligBetrag3,0)</f>
        <v>0</v>
      </c>
      <c r="Y25" s="40">
        <f aca="1">IF(AND(Param.SonstigEinmaligKonto4="Depot",$A25=Param.SonstigEinmaligJahr4),Param.SonstigEinmaligBetrag4,0)</f>
        <v>0</v>
      </c>
      <c r="Z25" s="40">
        <f aca="1">IF(AND(Param.SonstigEinmaligKonto5="Depot",$A25=Param.SonstigEinmaligJahr5),Param.SonstigEinmaligBetrag5,0)</f>
        <v>0</v>
      </c>
      <c r="AA25" s="40">
        <f aca="1">IF(AND(Param.SonstigEinmaligKonto6="Depot",$A25=Param.SonstigEinmaligJahr6),Param.SonstigEinmaligBetrag6,0)</f>
        <v>0</v>
      </c>
      <c r="AB25" s="40">
        <f aca="1">IF(AND(Param.SonstigEinmaligKonto7="Depot",$A25=Param.SonstigEinmaligJahr7),Param.SonstigEinmaligBetrag7,0)</f>
        <v>0</v>
      </c>
      <c r="AC25" s="40">
        <f aca="1">IF(AND(Param.SonstigEinmaligKonto8="Depot",$A25=Param.SonstigEinmaligJahr8),Param.SonstigEinmaligBetrag8,0)</f>
        <v>0</v>
      </c>
      <c r="AD25" s="40">
        <f aca="1">IF(AND(Param.SonstigEinmaligKonto9="Depot",$A25=Param.SonstigEinmaligJahr9),Param.SonstigEinmaligBetrag9,0)</f>
        <v>0</v>
      </c>
      <c r="AE25" s="40">
        <f aca="1">IF(AND(Param.SonstigEinmaligKonto10="Depot",$A25=Param.SonstigEinmaligJahr10),Param.SonstigEinmaligBetrag10,0)</f>
        <v>0</v>
      </c>
      <c r="AF25" s="40">
        <f aca="1">Param.SparerPauschbetrag-BF25</f>
        <v>0</v>
      </c>
      <c r="AG25" s="40">
        <f aca="1">IF(AND(A25&gt;=Param.FireStartjahr,S25&gt;0),MIN(N25*Q25,S25),0)</f>
        <v>43317.2146551299738</v>
      </c>
      <c r="AH25" s="40">
        <f aca="1">IF(AG25&lt;=0,0,IF(S25&lt;=0,0,AG25/(1-MAX(0,((T25/S25)*(1-Param.Teilfreistellung)-MIN(AF25,AG25)/AG25)*Param.KapSt))))</f>
        <v>49903.1711601687421</v>
      </c>
      <c r="AI25" s="40">
        <f>AH25-AG25</f>
        <v>6585.95650503869547</v>
      </c>
      <c r="AJ25" s="40">
        <f>T25-AH25*(T25/S25)</f>
        <v>658303.446584121673</v>
      </c>
      <c r="AK25" s="40">
        <f>S25-AH25</f>
        <v>920928.521128387307</v>
      </c>
      <c r="AL25" s="40">
        <f>FV(AO25,12,-(U25/12),-AK25,0)</f>
        <v>985393.517607429298</v>
      </c>
      <c r="AM25" s="40">
        <f>AJ25+AL25-AK25-U25</f>
        <v>722768.443063162966</v>
      </c>
      <c r="AN25" s="5">
        <f>AM25/AL25</f>
        <v>0.733482035499960272</v>
      </c>
      <c r="AO25" s="5">
        <f aca="1">(1+IF(AND(A25&gt;=Param.DepotRenditeSpezBeginn1,A25&lt;=Param.DepotRenditeSpezEnde1),Param.DepotRenditeSpezProz1,IF(AND(A25&gt;=Param.DepotRenditeSpezBeginn2,A25&lt;=Param.DepotRenditeSpezEnde2),Param.DepotRenditeSpezProz2,IF(AND(A25&gt;=Param.DepotRenditeSpezBeginn3,A25&lt;=Param.DepotRenditeSpezEnde3),Param.DepotRenditeSpezProz3,IF(AND(A25&gt;=Param.DepotRenditeSpezBeginn4,A25&lt;=Param.DepotRenditeSpezEnde4),Param.DepotRenditeSpezProz4,IF(AND(A25&gt;=Param.DepotRenditeSpezBeginn5,A25&lt;=Param.DepotRenditeSpezEnde5),Param.DepotRenditeSpezProz5,Param.DepotRenditeDefault))))))^(1/12)-1</f>
        <v>0.00565414538740993677</v>
      </c>
      <c r="AP25" s="40">
        <f>BJ24</f>
        <v>295510.373725143436</v>
      </c>
      <c r="AQ25" s="40">
        <f aca="1">IF(A25&lt;Param.FireStartjahr,Param.SparrateFestgeldMonatl*12*(1+Param.SparrateDynamikJaehrl)^($A25-Param.Startjahr),0)</f>
        <v>0</v>
      </c>
      <c r="AR25" s="40">
        <f>O25</f>
        <v>0</v>
      </c>
      <c r="AS25" s="40">
        <f aca="1">IF(AND(Param.SonstigEinmaligKonto1="Festgeld",$A25=Param.SonstigEinmaligJahr1),Param.SonstigEinmaligBetrag1,0)</f>
        <v>0</v>
      </c>
      <c r="AT25" s="40">
        <f aca="1">IF(AND(Param.SonstigEinmaligKonto2="Festgeld",$A25=Param.SonstigEinmaligJahr2),Param.SonstigEinmaligBetrag2,0)</f>
        <v>0</v>
      </c>
      <c r="AU25" s="40">
        <f aca="1">IF(AND(Param.SonstigEinmaligKonto3="Festgeld",$A25=Param.SonstigEinmaligJahr3),Param.SonstigEinmaligBetrag3,0)</f>
        <v>0</v>
      </c>
      <c r="AV25" s="40">
        <f aca="1">IF(AND(Param.SonstigEinmaligKonto4="Festgeld",$A25=Param.SonstigEinmaligJahr4),Param.SonstigEinmaligBetrag4,0)</f>
        <v>0</v>
      </c>
      <c r="AW25" s="40">
        <f aca="1">IF(AND(Param.SonstigEinmaligKonto5="Festgeld",$A25=Param.SonstigEinmaligJahr5),Param.SonstigEinmaligBetrag5,0)</f>
        <v>0</v>
      </c>
      <c r="AX25" s="40">
        <f aca="1">IF(AND(Param.SonstigEinmaligKonto6="Festgeld",$A25=Param.SonstigEinmaligJahr6),Param.SonstigEinmaligBetrag6,0)</f>
        <v>0</v>
      </c>
      <c r="AY25" s="40">
        <f aca="1">IF(AND(Param.SonstigEinmaligKonto7="Festgeld",$A25=Param.SonstigEinmaligJahr7),Param.SonstigEinmaligBetrag7,0)</f>
        <v>0</v>
      </c>
      <c r="AZ25" s="40">
        <f aca="1">IF(AND(Param.SonstigEinmaligKonto8="Festgeld",$A25=Param.SonstigEinmaligJahr8),Param.SonstigEinmaligBetrag8,0)</f>
        <v>0</v>
      </c>
      <c r="BA25" s="40">
        <f aca="1">IF(AND(Param.SonstigEinmaligKonto9="Festgeld",$A25=Param.SonstigEinmaligJahr9),Param.SonstigEinmaligBetrag9,0)</f>
        <v>0</v>
      </c>
      <c r="BB25" s="40">
        <f aca="1">IF(AND(Param.SonstigEinmaligKonto10="Festgeld",$A25=Param.SonstigEinmaligJahr10),Param.SonstigEinmaligBetrag10,0)</f>
        <v>0</v>
      </c>
      <c r="BC25" s="40">
        <f aca="1">IF(AND(A25&gt;=Param.FireStartjahr,AP25&gt;0),MIN(N25*R25,AP25),0)</f>
        <v>13185.2785535816674</v>
      </c>
      <c r="BD25" s="5">
        <f aca="1">Param.FestgeldZinssatz</f>
        <v>0.02</v>
      </c>
      <c r="BE25" s="40">
        <f>(AP25+AQ25-BC25)*BD25</f>
        <v>5646.50190343121994</v>
      </c>
      <c r="BF25" s="40">
        <f aca="1">IF(BE25&gt;Param.SparerPauschbetrag,Param.SparerPauschbetrag,BE25)</f>
        <v>1000</v>
      </c>
      <c r="BG25" s="40">
        <f>BE25-BF25</f>
        <v>4646.50190343121994</v>
      </c>
      <c r="BH25" s="40">
        <f aca="1">BG25*Param.KapSt</f>
        <v>1225.51487702998429</v>
      </c>
      <c r="BI25" s="40">
        <f>BE25-BH25</f>
        <v>4420.98702640123975</v>
      </c>
      <c r="BJ25" s="63">
        <f>AP25+SUM(AQ25:BB25)-BC25+BI25</f>
        <v>286746.082197962212</v>
      </c>
      <c r="BK25" s="40">
        <f>AL25+BJ25</f>
        <v>1272139.59980539093</v>
      </c>
      <c r="BL25" s="40">
        <f aca="1">BK25/(1+Param.Inflationsrate)^(A25-Param.Startjahr)</f>
        <v>776349.833021293161</v>
      </c>
      <c r="BM25" s="52" t="str">
        <f>IF(BK25&lt;N25,A25,"")</f>
        <v/>
      </c>
      <c r="BN25" s="40">
        <f>AH25+BC25</f>
        <v>63088.4497137504004</v>
      </c>
      <c r="BO25" s="40">
        <f>SUM(AR25:BB25)</f>
        <v>0</v>
      </c>
      <c r="BP25" s="40">
        <f>BN25+(-1*BO25)</f>
        <v>63088.4497137504004</v>
      </c>
      <c r="BQ25" s="40">
        <f>AI25+BH25</f>
        <v>7811.47138206868021</v>
      </c>
      <c r="BR25" s="5">
        <f>IF(BK25&gt;0,BP25/BK25,0)</f>
        <v>0.0495923951454711265</v>
      </c>
    </row>
    <row r="26" spans="1:70">
      <c r="A26">
        <f>A25+1</f>
        <v>2047</v>
      </c>
      <c r="B26">
        <f>B5+(22-1)</f>
        <v>51</v>
      </c>
      <c r="C26" s="10">
        <f aca="1">IF(A26&lt;Param.FireStartjahr,0,Param.EntnahmeBetragStart*(1+Param.Inflationsrate)^(A26-Param.Startjahr))</f>
        <v>50387.4555389294983</v>
      </c>
      <c r="D26" s="40">
        <f aca="1">IF(OR($A26&lt;Param.SonstigRegelmJahrBeginn1,$A26&gt;Param.SonstigRegelmJahrEnd1),0,Param.SonstigRegelmBetragJaehrl1*(1+Param.SonstigRegelmSteig1)^(A26-Param.SonstigRegelmJahrBeginn1))</f>
        <v>0</v>
      </c>
      <c r="E26" s="40">
        <f aca="1">IF(OR($A26&lt;Param.SonstigRegelmJahrBeginn2,$A26&gt;Param.SonstigRegelmJahrEnd2),0,Param.SonstigRegelmBetragJaehrl2*(1+Param.SonstigRegelmSteig2)^($A26-Param.SonstigRegelmJahrBeginn2))</f>
        <v>-7490.88000000000011</v>
      </c>
      <c r="F26" s="40">
        <f aca="1">IF(OR($A26&lt;Param.SonstigRegelmJahrBeginn3,$A26&gt;Param.SonstigRegelmJahrEnd3),0,Param.SonstigRegelmBetragJaehrl3*(1+Param.SonstigRegelmSteig3)^($A26-Param.SonstigRegelmJahrBeginn3))</f>
        <v>0</v>
      </c>
      <c r="G26" s="40">
        <f aca="1">IF(OR($A26&lt;Param.SonstigRegelmJahrBeginn4,$A26&gt;Param.SonstigRegelmJahrEnd4),0,Param.SonstigRegelmBetragJaehrl4*(1+Param.SonstigRegelmSteig4)^($A26-Param.SonstigRegelmJahrBeginn4))</f>
        <v>0</v>
      </c>
      <c r="H26" s="40">
        <f aca="1">IF(OR($A26&lt;Param.SonstigRegelmJahrBeginn5,$A26&gt;Param.SonstigRegelmJahrEnd5),0,Param.SonstigRegelmBetragJaehrl5*(1+Param.SonstigRegelmSteig5)^($A26-Param.SonstigRegelmJahrBeginn5))</f>
        <v>0</v>
      </c>
      <c r="I26" s="40">
        <f aca="1">IF(OR($A26&lt;Param.SonstigRegelmJahrBeginn6,$A26&gt;Param.SonstigRegelmJahrEnd6),0,Param.SonstigRegelmBetragJaehrl6*(1+Param.SonstigRegelmSteig6)^($A26-Param.SonstigRegelmJahrBeginn6))</f>
        <v>0</v>
      </c>
      <c r="J26" s="40">
        <f aca="1">IF(OR($A26&lt;Param.SonstigRegelmJahrBeginn7,$A26&gt;Param.SonstigRegelmJahrEnd7),0,Param.SonstigRegelmBetragJaehrl7*(1+Param.SonstigRegelmSteig7)^($A26-Param.SonstigRegelmJahrBeginn7))</f>
        <v>0</v>
      </c>
      <c r="K26" s="40">
        <f aca="1">IF(OR($A26&lt;Param.SonstigRegelmJahrBeginn8,$A26&gt;Param.SonstigRegelmJahrEnd8),0,Param.SonstigRegelmBetragJaehrl8*(1+Param.SonstigRegelmSteig8)^($A26-Param.SonstigRegelmJahrBeginn8))</f>
        <v>0</v>
      </c>
      <c r="L26" s="40">
        <f aca="1">IF(OR($A26&lt;Param.SonstigRegelmJahrBeginn9,$A26&gt;Param.SonstigRegelmJahrEnd9),0,Param.SonstigRegelmBetragJaehrl9*(1+Param.SonstigRegelmSteig9)^($A26-Param.SonstigRegelmJahrBeginn9))</f>
        <v>0</v>
      </c>
      <c r="M26" s="40">
        <f aca="1">IF(OR($A26&lt;Param.SonstigRegelmJahrBeginn10,$A26&gt;Param.SonstigRegelmJahrEnd10),0,Param.SonstigRegelmBetragJaehrl10*(1+Param.SonstigRegelmSteig10)^($A26-Param.SonstigRegelmJahrBeginn10))</f>
        <v>0</v>
      </c>
      <c r="N26" s="10">
        <f>MAX(0,C26-SUM(D26:M26))</f>
        <v>57878.3355389294957</v>
      </c>
      <c r="O26" s="10">
        <f>IF(N26&lt;=0,SUM(D26:M26)-C26,0)</f>
        <v>0</v>
      </c>
      <c r="P26" s="10">
        <f>S26+AP26</f>
        <v>1272139.59980539093</v>
      </c>
      <c r="Q26" s="11">
        <f>IF(P26&gt;0,S26/P26,0)</f>
        <v>0.774595427858839525</v>
      </c>
      <c r="R26" s="11">
        <f>IF(P26&gt;0,AP26/P26,0)</f>
        <v>0.22540457214116123</v>
      </c>
      <c r="S26" s="10">
        <f>AL25</f>
        <v>985393.517607429298</v>
      </c>
      <c r="T26" s="40">
        <f>AM25</f>
        <v>722768.443063162966</v>
      </c>
      <c r="U26" s="40">
        <f aca="1">IF(A26&lt;Param.FireStartjahr,Param.SparrateDepotMonatl*12*(1+Param.SparrateDynamikJaehrl)^($A26-Param.Startjahr),0)</f>
        <v>0</v>
      </c>
      <c r="V26" s="40">
        <f aca="1">IF(AND(Param.SonstigEinmaligKonto1="Depot",$A26=Param.SonstigEinmaligJahr1),Param.SonstigEinmaligBetrag1,0)</f>
        <v>0</v>
      </c>
      <c r="W26" s="40">
        <f aca="1">IF(AND(Param.SonstigEinmaligKonto2="Depot",$A26=Param.SonstigEinmaligJahr2),Param.SonstigEinmaligBetrag2,0)</f>
        <v>0</v>
      </c>
      <c r="X26" s="40">
        <f aca="1">IF(AND(Param.SonstigEinmaligKonto3="Depot",$A26=Param.SonstigEinmaligJahr3),Param.SonstigEinmaligBetrag3,0)</f>
        <v>0</v>
      </c>
      <c r="Y26" s="40">
        <f aca="1">IF(AND(Param.SonstigEinmaligKonto4="Depot",$A26=Param.SonstigEinmaligJahr4),Param.SonstigEinmaligBetrag4,0)</f>
        <v>0</v>
      </c>
      <c r="Z26" s="40">
        <f aca="1">IF(AND(Param.SonstigEinmaligKonto5="Depot",$A26=Param.SonstigEinmaligJahr5),Param.SonstigEinmaligBetrag5,0)</f>
        <v>0</v>
      </c>
      <c r="AA26" s="40">
        <f aca="1">IF(AND(Param.SonstigEinmaligKonto6="Depot",$A26=Param.SonstigEinmaligJahr6),Param.SonstigEinmaligBetrag6,0)</f>
        <v>0</v>
      </c>
      <c r="AB26" s="40">
        <f aca="1">IF(AND(Param.SonstigEinmaligKonto7="Depot",$A26=Param.SonstigEinmaligJahr7),Param.SonstigEinmaligBetrag7,0)</f>
        <v>0</v>
      </c>
      <c r="AC26" s="40">
        <f aca="1">IF(AND(Param.SonstigEinmaligKonto8="Depot",$A26=Param.SonstigEinmaligJahr8),Param.SonstigEinmaligBetrag8,0)</f>
        <v>0</v>
      </c>
      <c r="AD26" s="40">
        <f aca="1">IF(AND(Param.SonstigEinmaligKonto9="Depot",$A26=Param.SonstigEinmaligJahr9),Param.SonstigEinmaligBetrag9,0)</f>
        <v>0</v>
      </c>
      <c r="AE26" s="40">
        <f aca="1">IF(AND(Param.SonstigEinmaligKonto10="Depot",$A26=Param.SonstigEinmaligJahr10),Param.SonstigEinmaligBetrag10,0)</f>
        <v>0</v>
      </c>
      <c r="AF26" s="40">
        <f aca="1">Param.SparerPauschbetrag-BF26</f>
        <v>0</v>
      </c>
      <c r="AG26" s="40">
        <f aca="1">IF(AND(A26&gt;=Param.FireStartjahr,S26&gt;0),MIN(N26*Q26,S26),0)</f>
        <v>44832.2940805346007</v>
      </c>
      <c r="AH26" s="40">
        <f aca="1">IF(AG26&lt;=0,0,IF(S26&lt;=0,0,AG26/(1-MAX(0,((T26/S26)*(1-Param.Teilfreistellung)-MIN(AF26,AG26)/AG26)*Param.KapSt))))</f>
        <v>51854.3668490966884</v>
      </c>
      <c r="AI26" s="40">
        <f>AH26-AG26</f>
        <v>7022.07276856210228</v>
      </c>
      <c r="AJ26" s="40">
        <f>T26-AH26*(T26/S26)</f>
        <v>684734.19651712582</v>
      </c>
      <c r="AK26" s="40">
        <f>S26-AH26</f>
        <v>933539.150758332224</v>
      </c>
      <c r="AL26" s="40">
        <f>FV(AO26,12,-(U26/12),-AK26,0)</f>
        <v>998886.891311471118</v>
      </c>
      <c r="AM26" s="40">
        <f>AJ26+AL26-AK26-U26</f>
        <v>750081.937070267973</v>
      </c>
      <c r="AN26" s="5">
        <f>AM26/AL26</f>
        <v>0.750917790186895928</v>
      </c>
      <c r="AO26" s="5">
        <f aca="1">(1+IF(AND(A26&gt;=Param.DepotRenditeSpezBeginn1,A26&lt;=Param.DepotRenditeSpezEnde1),Param.DepotRenditeSpezProz1,IF(AND(A26&gt;=Param.DepotRenditeSpezBeginn2,A26&lt;=Param.DepotRenditeSpezEnde2),Param.DepotRenditeSpezProz2,IF(AND(A26&gt;=Param.DepotRenditeSpezBeginn3,A26&lt;=Param.DepotRenditeSpezEnde3),Param.DepotRenditeSpezProz3,IF(AND(A26&gt;=Param.DepotRenditeSpezBeginn4,A26&lt;=Param.DepotRenditeSpezEnde4),Param.DepotRenditeSpezProz4,IF(AND(A26&gt;=Param.DepotRenditeSpezBeginn5,A26&lt;=Param.DepotRenditeSpezEnde5),Param.DepotRenditeSpezProz5,Param.DepotRenditeDefault))))))^(1/12)-1</f>
        <v>0.00565414538740993677</v>
      </c>
      <c r="AP26" s="40">
        <f>BJ25</f>
        <v>286746.082197962212</v>
      </c>
      <c r="AQ26" s="40">
        <f aca="1">IF(A26&lt;Param.FireStartjahr,Param.SparrateFestgeldMonatl*12*(1+Param.SparrateDynamikJaehrl)^($A26-Param.Startjahr),0)</f>
        <v>0</v>
      </c>
      <c r="AR26" s="40">
        <f>O26</f>
        <v>0</v>
      </c>
      <c r="AS26" s="40">
        <f aca="1">IF(AND(Param.SonstigEinmaligKonto1="Festgeld",$A26=Param.SonstigEinmaligJahr1),Param.SonstigEinmaligBetrag1,0)</f>
        <v>0</v>
      </c>
      <c r="AT26" s="40">
        <f aca="1">IF(AND(Param.SonstigEinmaligKonto2="Festgeld",$A26=Param.SonstigEinmaligJahr2),Param.SonstigEinmaligBetrag2,0)</f>
        <v>0</v>
      </c>
      <c r="AU26" s="40">
        <f aca="1">IF(AND(Param.SonstigEinmaligKonto3="Festgeld",$A26=Param.SonstigEinmaligJahr3),Param.SonstigEinmaligBetrag3,0)</f>
        <v>0</v>
      </c>
      <c r="AV26" s="40">
        <f aca="1">IF(AND(Param.SonstigEinmaligKonto4="Festgeld",$A26=Param.SonstigEinmaligJahr4),Param.SonstigEinmaligBetrag4,0)</f>
        <v>0</v>
      </c>
      <c r="AW26" s="40">
        <f aca="1">IF(AND(Param.SonstigEinmaligKonto5="Festgeld",$A26=Param.SonstigEinmaligJahr5),Param.SonstigEinmaligBetrag5,0)</f>
        <v>0</v>
      </c>
      <c r="AX26" s="40">
        <f aca="1">IF(AND(Param.SonstigEinmaligKonto6="Festgeld",$A26=Param.SonstigEinmaligJahr6),Param.SonstigEinmaligBetrag6,0)</f>
        <v>0</v>
      </c>
      <c r="AY26" s="40">
        <f aca="1">IF(AND(Param.SonstigEinmaligKonto7="Festgeld",$A26=Param.SonstigEinmaligJahr7),Param.SonstigEinmaligBetrag7,0)</f>
        <v>0</v>
      </c>
      <c r="AZ26" s="40">
        <f aca="1">IF(AND(Param.SonstigEinmaligKonto8="Festgeld",$A26=Param.SonstigEinmaligJahr8),Param.SonstigEinmaligBetrag8,0)</f>
        <v>0</v>
      </c>
      <c r="BA26" s="40">
        <f aca="1">IF(AND(Param.SonstigEinmaligKonto9="Festgeld",$A26=Param.SonstigEinmaligJahr9),Param.SonstigEinmaligBetrag9,0)</f>
        <v>0</v>
      </c>
      <c r="BB26" s="40">
        <f aca="1">IF(AND(Param.SonstigEinmaligKonto10="Festgeld",$A26=Param.SonstigEinmaligJahr10),Param.SonstigEinmaligBetrag10,0)</f>
        <v>0</v>
      </c>
      <c r="BC26" s="40">
        <f aca="1">IF(AND(A26&gt;=Param.FireStartjahr,AP26&gt;0),MIN(N26*R26,AP26),0)</f>
        <v>13046.0414583949569</v>
      </c>
      <c r="BD26" s="5">
        <f aca="1">Param.FestgeldZinssatz</f>
        <v>0.02</v>
      </c>
      <c r="BE26" s="40">
        <f>(AP26+AQ26-BC26)*BD26</f>
        <v>5474.00081479134042</v>
      </c>
      <c r="BF26" s="40">
        <f aca="1">IF(BE26&gt;Param.SparerPauschbetrag,Param.SparerPauschbetrag,BE26)</f>
        <v>1000</v>
      </c>
      <c r="BG26" s="40">
        <f>BE26-BF26</f>
        <v>4474.00081479134042</v>
      </c>
      <c r="BH26" s="40">
        <f aca="1">BG26*Param.KapSt</f>
        <v>1180.01771490121587</v>
      </c>
      <c r="BI26" s="40">
        <f>BE26-BH26</f>
        <v>4293.98309989012068</v>
      </c>
      <c r="BJ26" s="63">
        <f>AP26+SUM(AQ26:BB26)-BC26+BI26</f>
        <v>277994.023839457135</v>
      </c>
      <c r="BK26" s="40">
        <f>AL26+BJ26</f>
        <v>1276880.91515092808</v>
      </c>
      <c r="BL26" s="40">
        <f aca="1">BK26/(1+Param.Inflationsrate)^(A26-Param.Startjahr)</f>
        <v>760237.385373274912</v>
      </c>
      <c r="BM26" s="52" t="str">
        <f>IF(BK26&lt;N26,A26,"")</f>
        <v/>
      </c>
      <c r="BN26" s="40">
        <f>AH26+BC26</f>
        <v>64900.4083074916998</v>
      </c>
      <c r="BO26" s="40">
        <f>SUM(AR26:BB26)</f>
        <v>0</v>
      </c>
      <c r="BP26" s="40">
        <f>BN26+(-1*BO26)</f>
        <v>64900.4083074916998</v>
      </c>
      <c r="BQ26" s="40">
        <f>AI26+BH26</f>
        <v>8202.0904834633202</v>
      </c>
      <c r="BR26" s="5">
        <f>IF(BK26&gt;0,BP26/BK26,0)</f>
        <v>0.050827299192439046</v>
      </c>
    </row>
    <row r="27" spans="1:70">
      <c r="A27">
        <f>A26+1</f>
        <v>2048</v>
      </c>
      <c r="B27">
        <f>B5+(23-1)</f>
        <v>52</v>
      </c>
      <c r="C27" s="10">
        <f aca="1">IF(A27&lt;Param.FireStartjahr,0,Param.EntnahmeBetragStart*(1+Param.Inflationsrate)^(A27-Param.Startjahr))</f>
        <v>51647.1419274029977</v>
      </c>
      <c r="D27" s="40">
        <f aca="1">IF(OR($A27&lt;Param.SonstigRegelmJahrBeginn1,$A27&gt;Param.SonstigRegelmJahrEnd1),0,Param.SonstigRegelmBetragJaehrl1*(1+Param.SonstigRegelmSteig1)^(A27-Param.SonstigRegelmJahrBeginn1))</f>
        <v>0</v>
      </c>
      <c r="E27" s="40">
        <f aca="1">IF(OR($A27&lt;Param.SonstigRegelmJahrBeginn2,$A27&gt;Param.SonstigRegelmJahrEnd2),0,Param.SonstigRegelmBetragJaehrl2*(1+Param.SonstigRegelmSteig2)^($A27-Param.SonstigRegelmJahrBeginn2))</f>
        <v>-7640.69759999999951</v>
      </c>
      <c r="F27" s="40">
        <f aca="1">IF(OR($A27&lt;Param.SonstigRegelmJahrBeginn3,$A27&gt;Param.SonstigRegelmJahrEnd3),0,Param.SonstigRegelmBetragJaehrl3*(1+Param.SonstigRegelmSteig3)^($A27-Param.SonstigRegelmJahrBeginn3))</f>
        <v>0</v>
      </c>
      <c r="G27" s="40">
        <f aca="1">IF(OR($A27&lt;Param.SonstigRegelmJahrBeginn4,$A27&gt;Param.SonstigRegelmJahrEnd4),0,Param.SonstigRegelmBetragJaehrl4*(1+Param.SonstigRegelmSteig4)^($A27-Param.SonstigRegelmJahrBeginn4))</f>
        <v>0</v>
      </c>
      <c r="H27" s="40">
        <f aca="1">IF(OR($A27&lt;Param.SonstigRegelmJahrBeginn5,$A27&gt;Param.SonstigRegelmJahrEnd5),0,Param.SonstigRegelmBetragJaehrl5*(1+Param.SonstigRegelmSteig5)^($A27-Param.SonstigRegelmJahrBeginn5))</f>
        <v>0</v>
      </c>
      <c r="I27" s="40">
        <f aca="1">IF(OR($A27&lt;Param.SonstigRegelmJahrBeginn6,$A27&gt;Param.SonstigRegelmJahrEnd6),0,Param.SonstigRegelmBetragJaehrl6*(1+Param.SonstigRegelmSteig6)^($A27-Param.SonstigRegelmJahrBeginn6))</f>
        <v>0</v>
      </c>
      <c r="J27" s="40">
        <f aca="1">IF(OR($A27&lt;Param.SonstigRegelmJahrBeginn7,$A27&gt;Param.SonstigRegelmJahrEnd7),0,Param.SonstigRegelmBetragJaehrl7*(1+Param.SonstigRegelmSteig7)^($A27-Param.SonstigRegelmJahrBeginn7))</f>
        <v>0</v>
      </c>
      <c r="K27" s="40">
        <f aca="1">IF(OR($A27&lt;Param.SonstigRegelmJahrBeginn8,$A27&gt;Param.SonstigRegelmJahrEnd8),0,Param.SonstigRegelmBetragJaehrl8*(1+Param.SonstigRegelmSteig8)^($A27-Param.SonstigRegelmJahrBeginn8))</f>
        <v>0</v>
      </c>
      <c r="L27" s="40">
        <f aca="1">IF(OR($A27&lt;Param.SonstigRegelmJahrBeginn9,$A27&gt;Param.SonstigRegelmJahrEnd9),0,Param.SonstigRegelmBetragJaehrl9*(1+Param.SonstigRegelmSteig9)^($A27-Param.SonstigRegelmJahrBeginn9))</f>
        <v>0</v>
      </c>
      <c r="M27" s="40">
        <f aca="1">IF(OR($A27&lt;Param.SonstigRegelmJahrBeginn10,$A27&gt;Param.SonstigRegelmJahrEnd10),0,Param.SonstigRegelmBetragJaehrl10*(1+Param.SonstigRegelmSteig10)^($A27-Param.SonstigRegelmJahrBeginn10))</f>
        <v>0</v>
      </c>
      <c r="N27" s="10">
        <f>MAX(0,C27-SUM(D27:M27))</f>
        <v>59287.8395274029972</v>
      </c>
      <c r="O27" s="10">
        <f>IF(N27&lt;=0,SUM(D27:M27)-C27,0)</f>
        <v>0</v>
      </c>
      <c r="P27" s="10">
        <f>S27+AP27</f>
        <v>1276880.91515092808</v>
      </c>
      <c r="Q27" s="11">
        <f>IF(P27&gt;0,S27/P27,0)</f>
        <v>0.782286648237201199</v>
      </c>
      <c r="R27" s="11">
        <f>IF(P27&gt;0,AP27/P27,0)</f>
        <v>0.217713351762797336</v>
      </c>
      <c r="S27" s="10">
        <f>AL26</f>
        <v>998886.891311471118</v>
      </c>
      <c r="T27" s="40">
        <f>AM26</f>
        <v>750081.937070267973</v>
      </c>
      <c r="U27" s="40">
        <f aca="1">IF(A27&lt;Param.FireStartjahr,Param.SparrateDepotMonatl*12*(1+Param.SparrateDynamikJaehrl)^($A27-Param.Startjahr),0)</f>
        <v>0</v>
      </c>
      <c r="V27" s="40">
        <f aca="1">IF(AND(Param.SonstigEinmaligKonto1="Depot",$A27=Param.SonstigEinmaligJahr1),Param.SonstigEinmaligBetrag1,0)</f>
        <v>0</v>
      </c>
      <c r="W27" s="40">
        <f aca="1">IF(AND(Param.SonstigEinmaligKonto2="Depot",$A27=Param.SonstigEinmaligJahr2),Param.SonstigEinmaligBetrag2,0)</f>
        <v>0</v>
      </c>
      <c r="X27" s="40">
        <f aca="1">IF(AND(Param.SonstigEinmaligKonto3="Depot",$A27=Param.SonstigEinmaligJahr3),Param.SonstigEinmaligBetrag3,0)</f>
        <v>0</v>
      </c>
      <c r="Y27" s="40">
        <f aca="1">IF(AND(Param.SonstigEinmaligKonto4="Depot",$A27=Param.SonstigEinmaligJahr4),Param.SonstigEinmaligBetrag4,0)</f>
        <v>0</v>
      </c>
      <c r="Z27" s="40">
        <f aca="1">IF(AND(Param.SonstigEinmaligKonto5="Depot",$A27=Param.SonstigEinmaligJahr5),Param.SonstigEinmaligBetrag5,0)</f>
        <v>0</v>
      </c>
      <c r="AA27" s="40">
        <f aca="1">IF(AND(Param.SonstigEinmaligKonto6="Depot",$A27=Param.SonstigEinmaligJahr6),Param.SonstigEinmaligBetrag6,0)</f>
        <v>0</v>
      </c>
      <c r="AB27" s="40">
        <f aca="1">IF(AND(Param.SonstigEinmaligKonto7="Depot",$A27=Param.SonstigEinmaligJahr7),Param.SonstigEinmaligBetrag7,0)</f>
        <v>0</v>
      </c>
      <c r="AC27" s="40">
        <f aca="1">IF(AND(Param.SonstigEinmaligKonto8="Depot",$A27=Param.SonstigEinmaligJahr8),Param.SonstigEinmaligBetrag8,0)</f>
        <v>0</v>
      </c>
      <c r="AD27" s="40">
        <f aca="1">IF(AND(Param.SonstigEinmaligKonto9="Depot",$A27=Param.SonstigEinmaligJahr9),Param.SonstigEinmaligBetrag9,0)</f>
        <v>0</v>
      </c>
      <c r="AE27" s="40">
        <f aca="1">IF(AND(Param.SonstigEinmaligKonto10="Depot",$A27=Param.SonstigEinmaligJahr10),Param.SonstigEinmaligBetrag10,0)</f>
        <v>0</v>
      </c>
      <c r="AF27" s="40">
        <f aca="1">Param.SparerPauschbetrag-BF27</f>
        <v>0</v>
      </c>
      <c r="AG27" s="40">
        <f aca="1">IF(AND(A27&gt;=Param.FireStartjahr,S27&gt;0),MIN(N27*Q27,S27),0)</f>
        <v>46380.0852651171299</v>
      </c>
      <c r="AH27" s="40">
        <f aca="1">IF(AG27&lt;=0,0,IF(S27&lt;=0,0,AG27/(1-MAX(0,((T27/S27)*(1-Param.Teilfreistellung)-MIN(AF27,AG27)/AG27)*Param.KapSt))))</f>
        <v>53845.0684767953062</v>
      </c>
      <c r="AI27" s="40">
        <f>AH27-AG27</f>
        <v>7464.98321167819813</v>
      </c>
      <c r="AJ27" s="40">
        <f>T27-AH27*(T27/S27)</f>
        <v>709648.717237210833</v>
      </c>
      <c r="AK27" s="40">
        <f>S27-AH27</f>
        <v>945041.822834675666</v>
      </c>
      <c r="AL27" s="40">
        <f>FV(AO27,12,-(U27/12),-AK27,0)</f>
        <v>1001744.33220471907</v>
      </c>
      <c r="AM27" s="40">
        <f>AJ27+AL27-AK27-U27</f>
        <v>766351.226607254008</v>
      </c>
      <c r="AN27" s="5">
        <f>AM27/AL27</f>
        <v>0.765016783195175432</v>
      </c>
      <c r="AO27" s="5">
        <f aca="1">(1+IF(AND(A27&gt;=Param.DepotRenditeSpezBeginn1,A27&lt;=Param.DepotRenditeSpezEnde1),Param.DepotRenditeSpezProz1,IF(AND(A27&gt;=Param.DepotRenditeSpezBeginn2,A27&lt;=Param.DepotRenditeSpezEnde2),Param.DepotRenditeSpezProz2,IF(AND(A27&gt;=Param.DepotRenditeSpezBeginn3,A27&lt;=Param.DepotRenditeSpezEnde3),Param.DepotRenditeSpezProz3,IF(AND(A27&gt;=Param.DepotRenditeSpezBeginn4,A27&lt;=Param.DepotRenditeSpezEnde4),Param.DepotRenditeSpezProz4,IF(AND(A27&gt;=Param.DepotRenditeSpezBeginn5,A27&lt;=Param.DepotRenditeSpezEnde5),Param.DepotRenditeSpezProz5,Param.DepotRenditeDefault))))))^(1/12)-1</f>
        <v>0.00486755056533993979</v>
      </c>
      <c r="AP27" s="40">
        <f>BJ26</f>
        <v>277994.023839457135</v>
      </c>
      <c r="AQ27" s="40">
        <f aca="1">IF(A27&lt;Param.FireStartjahr,Param.SparrateFestgeldMonatl*12*(1+Param.SparrateDynamikJaehrl)^($A27-Param.Startjahr),0)</f>
        <v>0</v>
      </c>
      <c r="AR27" s="40">
        <f>O27</f>
        <v>0</v>
      </c>
      <c r="AS27" s="40">
        <f aca="1">IF(AND(Param.SonstigEinmaligKonto1="Festgeld",$A27=Param.SonstigEinmaligJahr1),Param.SonstigEinmaligBetrag1,0)</f>
        <v>0</v>
      </c>
      <c r="AT27" s="40">
        <f aca="1">IF(AND(Param.SonstigEinmaligKonto2="Festgeld",$A27=Param.SonstigEinmaligJahr2),Param.SonstigEinmaligBetrag2,0)</f>
        <v>0</v>
      </c>
      <c r="AU27" s="40">
        <f aca="1">IF(AND(Param.SonstigEinmaligKonto3="Festgeld",$A27=Param.SonstigEinmaligJahr3),Param.SonstigEinmaligBetrag3,0)</f>
        <v>0</v>
      </c>
      <c r="AV27" s="40">
        <f aca="1">IF(AND(Param.SonstigEinmaligKonto4="Festgeld",$A27=Param.SonstigEinmaligJahr4),Param.SonstigEinmaligBetrag4,0)</f>
        <v>0</v>
      </c>
      <c r="AW27" s="40">
        <f aca="1">IF(AND(Param.SonstigEinmaligKonto5="Festgeld",$A27=Param.SonstigEinmaligJahr5),Param.SonstigEinmaligBetrag5,0)</f>
        <v>0</v>
      </c>
      <c r="AX27" s="40">
        <f aca="1">IF(AND(Param.SonstigEinmaligKonto6="Festgeld",$A27=Param.SonstigEinmaligJahr6),Param.SonstigEinmaligBetrag6,0)</f>
        <v>0</v>
      </c>
      <c r="AY27" s="40">
        <f aca="1">IF(AND(Param.SonstigEinmaligKonto7="Festgeld",$A27=Param.SonstigEinmaligJahr7),Param.SonstigEinmaligBetrag7,0)</f>
        <v>0</v>
      </c>
      <c r="AZ27" s="40">
        <f aca="1">IF(AND(Param.SonstigEinmaligKonto8="Festgeld",$A27=Param.SonstigEinmaligJahr8),Param.SonstigEinmaligBetrag8,0)</f>
        <v>0</v>
      </c>
      <c r="BA27" s="40">
        <f aca="1">IF(AND(Param.SonstigEinmaligKonto9="Festgeld",$A27=Param.SonstigEinmaligJahr9),Param.SonstigEinmaligBetrag9,0)</f>
        <v>0</v>
      </c>
      <c r="BB27" s="40">
        <f aca="1">IF(AND(Param.SonstigEinmaligKonto10="Festgeld",$A27=Param.SonstigEinmaligJahr10),Param.SonstigEinmaligBetrag10,0)</f>
        <v>0</v>
      </c>
      <c r="BC27" s="40">
        <f aca="1">IF(AND(A27&gt;=Param.FireStartjahr,AP27&gt;0),MIN(N27*R27,AP27),0)</f>
        <v>12907.7542622857491</v>
      </c>
      <c r="BD27" s="5">
        <f aca="1">Param.FestgeldZinssatz</f>
        <v>0.02</v>
      </c>
      <c r="BE27" s="40">
        <f>(AP27+AQ27-BC27)*BD27</f>
        <v>5301.7253915434203</v>
      </c>
      <c r="BF27" s="40">
        <f aca="1">IF(BE27&gt;Param.SparerPauschbetrag,Param.SparerPauschbetrag,BE27)</f>
        <v>1000</v>
      </c>
      <c r="BG27" s="40">
        <f>BE27-BF27</f>
        <v>4301.7253915434203</v>
      </c>
      <c r="BH27" s="40">
        <f aca="1">BG27*Param.KapSt</f>
        <v>1134.58007201957707</v>
      </c>
      <c r="BI27" s="40">
        <f>BE27-BH27</f>
        <v>4167.14531952384004</v>
      </c>
      <c r="BJ27" s="63">
        <f>AP27+SUM(AQ27:BB27)-BC27+BI27</f>
        <v>269253.414896694827</v>
      </c>
      <c r="BK27" s="40">
        <f>AL27+BJ27</f>
        <v>1270997.74710141495</v>
      </c>
      <c r="BL27" s="40">
        <f aca="1">BK27/(1+Param.Inflationsrate)^(A27-Param.Startjahr)</f>
        <v>738277.685658566537</v>
      </c>
      <c r="BM27" s="52" t="str">
        <f>IF(BK27&lt;N27,A27,"")</f>
        <v/>
      </c>
      <c r="BN27" s="40">
        <f>AH27+BC27</f>
        <v>66752.8227390810935</v>
      </c>
      <c r="BO27" s="40">
        <f>SUM(AR27:BB27)</f>
        <v>0</v>
      </c>
      <c r="BP27" s="40">
        <f>BN27+(-1*BO27)</f>
        <v>66752.8227390810935</v>
      </c>
      <c r="BQ27" s="40">
        <f>AI27+BH27</f>
        <v>8599.56328369778021</v>
      </c>
      <c r="BR27" s="5">
        <f>IF(BK27&gt;0,BP27/BK27,0)</f>
        <v>0.0525200165706938193</v>
      </c>
    </row>
    <row r="28" spans="1:70">
      <c r="A28">
        <f>A27+1</f>
        <v>2049</v>
      </c>
      <c r="B28">
        <f>B5+(24-1)</f>
        <v>53</v>
      </c>
      <c r="C28" s="10">
        <f aca="1">IF(A28&lt;Param.FireStartjahr,0,Param.EntnahmeBetragStart*(1+Param.Inflationsrate)^(A28-Param.Startjahr))</f>
        <v>52938.3204755879997</v>
      </c>
      <c r="D28" s="40">
        <f aca="1">IF(OR($A28&lt;Param.SonstigRegelmJahrBeginn1,$A28&gt;Param.SonstigRegelmJahrEnd1),0,Param.SonstigRegelmBetragJaehrl1*(1+Param.SonstigRegelmSteig1)^(A28-Param.SonstigRegelmJahrBeginn1))</f>
        <v>0</v>
      </c>
      <c r="E28" s="40">
        <f aca="1">IF(OR($A28&lt;Param.SonstigRegelmJahrBeginn2,$A28&gt;Param.SonstigRegelmJahrEnd2),0,Param.SonstigRegelmBetragJaehrl2*(1+Param.SonstigRegelmSteig2)^($A28-Param.SonstigRegelmJahrBeginn2))</f>
        <v>-7793.51155199999994</v>
      </c>
      <c r="F28" s="40">
        <f aca="1">IF(OR($A28&lt;Param.SonstigRegelmJahrBeginn3,$A28&gt;Param.SonstigRegelmJahrEnd3),0,Param.SonstigRegelmBetragJaehrl3*(1+Param.SonstigRegelmSteig3)^($A28-Param.SonstigRegelmJahrBeginn3))</f>
        <v>0</v>
      </c>
      <c r="G28" s="40">
        <f aca="1">IF(OR($A28&lt;Param.SonstigRegelmJahrBeginn4,$A28&gt;Param.SonstigRegelmJahrEnd4),0,Param.SonstigRegelmBetragJaehrl4*(1+Param.SonstigRegelmSteig4)^($A28-Param.SonstigRegelmJahrBeginn4))</f>
        <v>0</v>
      </c>
      <c r="H28" s="40">
        <f aca="1">IF(OR($A28&lt;Param.SonstigRegelmJahrBeginn5,$A28&gt;Param.SonstigRegelmJahrEnd5),0,Param.SonstigRegelmBetragJaehrl5*(1+Param.SonstigRegelmSteig5)^($A28-Param.SonstigRegelmJahrBeginn5))</f>
        <v>0</v>
      </c>
      <c r="I28" s="40">
        <f aca="1">IF(OR($A28&lt;Param.SonstigRegelmJahrBeginn6,$A28&gt;Param.SonstigRegelmJahrEnd6),0,Param.SonstigRegelmBetragJaehrl6*(1+Param.SonstigRegelmSteig6)^($A28-Param.SonstigRegelmJahrBeginn6))</f>
        <v>0</v>
      </c>
      <c r="J28" s="40">
        <f aca="1">IF(OR($A28&lt;Param.SonstigRegelmJahrBeginn7,$A28&gt;Param.SonstigRegelmJahrEnd7),0,Param.SonstigRegelmBetragJaehrl7*(1+Param.SonstigRegelmSteig7)^($A28-Param.SonstigRegelmJahrBeginn7))</f>
        <v>0</v>
      </c>
      <c r="K28" s="40">
        <f aca="1">IF(OR($A28&lt;Param.SonstigRegelmJahrBeginn8,$A28&gt;Param.SonstigRegelmJahrEnd8),0,Param.SonstigRegelmBetragJaehrl8*(1+Param.SonstigRegelmSteig8)^($A28-Param.SonstigRegelmJahrBeginn8))</f>
        <v>0</v>
      </c>
      <c r="L28" s="40">
        <f aca="1">IF(OR($A28&lt;Param.SonstigRegelmJahrBeginn9,$A28&gt;Param.SonstigRegelmJahrEnd9),0,Param.SonstigRegelmBetragJaehrl9*(1+Param.SonstigRegelmSteig9)^($A28-Param.SonstigRegelmJahrBeginn9))</f>
        <v>0</v>
      </c>
      <c r="M28" s="40">
        <f aca="1">IF(OR($A28&lt;Param.SonstigRegelmJahrBeginn10,$A28&gt;Param.SonstigRegelmJahrEnd10),0,Param.SonstigRegelmBetragJaehrl10*(1+Param.SonstigRegelmSteig10)^($A28-Param.SonstigRegelmJahrBeginn10))</f>
        <v>0</v>
      </c>
      <c r="N28" s="10">
        <f>MAX(0,C28-SUM(D28:M28))</f>
        <v>60731.832027587996</v>
      </c>
      <c r="O28" s="10">
        <f>IF(N28&lt;=0,SUM(D28:M28)-C28,0)</f>
        <v>0</v>
      </c>
      <c r="P28" s="10">
        <f>S28+AP28</f>
        <v>1270997.74710141495</v>
      </c>
      <c r="Q28" s="11">
        <f>IF(P28&gt;0,S28/P28,0)</f>
        <v>0.788155867694693235</v>
      </c>
      <c r="R28" s="11">
        <f>IF(P28&gt;0,AP28/P28,0)</f>
        <v>0.211844132305302768</v>
      </c>
      <c r="S28" s="10">
        <f>AL27</f>
        <v>1001744.33220471907</v>
      </c>
      <c r="T28" s="40">
        <f>AM27</f>
        <v>766351.226607254008</v>
      </c>
      <c r="U28" s="40">
        <f aca="1">IF(A28&lt;Param.FireStartjahr,Param.SparrateDepotMonatl*12*(1+Param.SparrateDynamikJaehrl)^($A28-Param.Startjahr),0)</f>
        <v>0</v>
      </c>
      <c r="V28" s="40">
        <f aca="1">IF(AND(Param.SonstigEinmaligKonto1="Depot",$A28=Param.SonstigEinmaligJahr1),Param.SonstigEinmaligBetrag1,0)</f>
        <v>0</v>
      </c>
      <c r="W28" s="40">
        <f aca="1">IF(AND(Param.SonstigEinmaligKonto2="Depot",$A28=Param.SonstigEinmaligJahr2),Param.SonstigEinmaligBetrag2,0)</f>
        <v>0</v>
      </c>
      <c r="X28" s="40">
        <f aca="1">IF(AND(Param.SonstigEinmaligKonto3="Depot",$A28=Param.SonstigEinmaligJahr3),Param.SonstigEinmaligBetrag3,0)</f>
        <v>0</v>
      </c>
      <c r="Y28" s="40">
        <f aca="1">IF(AND(Param.SonstigEinmaligKonto4="Depot",$A28=Param.SonstigEinmaligJahr4),Param.SonstigEinmaligBetrag4,0)</f>
        <v>0</v>
      </c>
      <c r="Z28" s="40">
        <f aca="1">IF(AND(Param.SonstigEinmaligKonto5="Depot",$A28=Param.SonstigEinmaligJahr5),Param.SonstigEinmaligBetrag5,0)</f>
        <v>0</v>
      </c>
      <c r="AA28" s="40">
        <f aca="1">IF(AND(Param.SonstigEinmaligKonto6="Depot",$A28=Param.SonstigEinmaligJahr6),Param.SonstigEinmaligBetrag6,0)</f>
        <v>0</v>
      </c>
      <c r="AB28" s="40">
        <f aca="1">IF(AND(Param.SonstigEinmaligKonto7="Depot",$A28=Param.SonstigEinmaligJahr7),Param.SonstigEinmaligBetrag7,0)</f>
        <v>0</v>
      </c>
      <c r="AC28" s="40">
        <f aca="1">IF(AND(Param.SonstigEinmaligKonto8="Depot",$A28=Param.SonstigEinmaligJahr8),Param.SonstigEinmaligBetrag8,0)</f>
        <v>0</v>
      </c>
      <c r="AD28" s="40">
        <f aca="1">IF(AND(Param.SonstigEinmaligKonto9="Depot",$A28=Param.SonstigEinmaligJahr9),Param.SonstigEinmaligBetrag9,0)</f>
        <v>0</v>
      </c>
      <c r="AE28" s="40">
        <f aca="1">IF(AND(Param.SonstigEinmaligKonto10="Depot",$A28=Param.SonstigEinmaligJahr10),Param.SonstigEinmaligBetrag10,0)</f>
        <v>0</v>
      </c>
      <c r="AF28" s="40">
        <f aca="1">Param.SparerPauschbetrag-BF28</f>
        <v>0</v>
      </c>
      <c r="AG28" s="40">
        <f aca="1">IF(AND(A28&gt;=Param.FireStartjahr,S28&gt;0),MIN(N28*Q28,S28),0)</f>
        <v>47866.1497683919733</v>
      </c>
      <c r="AH28" s="40">
        <f aca="1">IF(AG28&lt;=0,0,IF(S28&lt;=0,0,AG28/(1-MAX(0,((T28/S28)*(1-Param.Teilfreistellung)-MIN(AF28,AG28)/AG28)*Param.KapSt))))</f>
        <v>55738.7605037436952</v>
      </c>
      <c r="AI28" s="40">
        <f>AH28-AG28</f>
        <v>7872.61073535169999</v>
      </c>
      <c r="AJ28" s="40">
        <f>T28-AH28*(T28/S28)</f>
        <v>723710.139347393764</v>
      </c>
      <c r="AK28" s="40">
        <f>S28-AH28</f>
        <v>946005.571700976347</v>
      </c>
      <c r="AL28" s="40">
        <f>FV(AO28,12,-(U28/12),-AK28,0)</f>
        <v>1002765.90600299777</v>
      </c>
      <c r="AM28" s="40">
        <f>AJ28+AL28-AK28-U28</f>
        <v>780470.473649414023</v>
      </c>
      <c r="AN28" s="5">
        <f>AM28/AL28</f>
        <v>0.778317719995437418</v>
      </c>
      <c r="AO28" s="5">
        <f aca="1">(1+IF(AND(A28&gt;=Param.DepotRenditeSpezBeginn1,A28&lt;=Param.DepotRenditeSpezEnde1),Param.DepotRenditeSpezProz1,IF(AND(A28&gt;=Param.DepotRenditeSpezBeginn2,A28&lt;=Param.DepotRenditeSpezEnde2),Param.DepotRenditeSpezProz2,IF(AND(A28&gt;=Param.DepotRenditeSpezBeginn3,A28&lt;=Param.DepotRenditeSpezEnde3),Param.DepotRenditeSpezProz3,IF(AND(A28&gt;=Param.DepotRenditeSpezBeginn4,A28&lt;=Param.DepotRenditeSpezEnde4),Param.DepotRenditeSpezProz4,IF(AND(A28&gt;=Param.DepotRenditeSpezBeginn5,A28&lt;=Param.DepotRenditeSpezEnde5),Param.DepotRenditeSpezProz5,Param.DepotRenditeDefault))))))^(1/12)-1</f>
        <v>0.00486755056533993979</v>
      </c>
      <c r="AP28" s="40">
        <f>BJ27</f>
        <v>269253.414896694827</v>
      </c>
      <c r="AQ28" s="40">
        <f aca="1">IF(A28&lt;Param.FireStartjahr,Param.SparrateFestgeldMonatl*12*(1+Param.SparrateDynamikJaehrl)^($A28-Param.Startjahr),0)</f>
        <v>0</v>
      </c>
      <c r="AR28" s="40">
        <f>O28</f>
        <v>0</v>
      </c>
      <c r="AS28" s="40">
        <f aca="1">IF(AND(Param.SonstigEinmaligKonto1="Festgeld",$A28=Param.SonstigEinmaligJahr1),Param.SonstigEinmaligBetrag1,0)</f>
        <v>0</v>
      </c>
      <c r="AT28" s="40">
        <f aca="1">IF(AND(Param.SonstigEinmaligKonto2="Festgeld",$A28=Param.SonstigEinmaligJahr2),Param.SonstigEinmaligBetrag2,0)</f>
        <v>0</v>
      </c>
      <c r="AU28" s="40">
        <f aca="1">IF(AND(Param.SonstigEinmaligKonto3="Festgeld",$A28=Param.SonstigEinmaligJahr3),Param.SonstigEinmaligBetrag3,0)</f>
        <v>0</v>
      </c>
      <c r="AV28" s="40">
        <f aca="1">IF(AND(Param.SonstigEinmaligKonto4="Festgeld",$A28=Param.SonstigEinmaligJahr4),Param.SonstigEinmaligBetrag4,0)</f>
        <v>0</v>
      </c>
      <c r="AW28" s="40">
        <f aca="1">IF(AND(Param.SonstigEinmaligKonto5="Festgeld",$A28=Param.SonstigEinmaligJahr5),Param.SonstigEinmaligBetrag5,0)</f>
        <v>0</v>
      </c>
      <c r="AX28" s="40">
        <f aca="1">IF(AND(Param.SonstigEinmaligKonto6="Festgeld",$A28=Param.SonstigEinmaligJahr6),Param.SonstigEinmaligBetrag6,0)</f>
        <v>0</v>
      </c>
      <c r="AY28" s="40">
        <f aca="1">IF(AND(Param.SonstigEinmaligKonto7="Festgeld",$A28=Param.SonstigEinmaligJahr7),Param.SonstigEinmaligBetrag7,0)</f>
        <v>0</v>
      </c>
      <c r="AZ28" s="40">
        <f aca="1">IF(AND(Param.SonstigEinmaligKonto8="Festgeld",$A28=Param.SonstigEinmaligJahr8),Param.SonstigEinmaligBetrag8,0)</f>
        <v>0</v>
      </c>
      <c r="BA28" s="40">
        <f aca="1">IF(AND(Param.SonstigEinmaligKonto9="Festgeld",$A28=Param.SonstigEinmaligJahr9),Param.SonstigEinmaligBetrag9,0)</f>
        <v>0</v>
      </c>
      <c r="BB28" s="40">
        <f aca="1">IF(AND(Param.SonstigEinmaligKonto10="Festgeld",$A28=Param.SonstigEinmaligJahr10),Param.SonstigEinmaligBetrag10,0)</f>
        <v>0</v>
      </c>
      <c r="BC28" s="40">
        <f aca="1">IF(AND(A28&gt;=Param.FireStartjahr,AP28&gt;0),MIN(N28*R28,AP28),0)</f>
        <v>12865.6822591957916</v>
      </c>
      <c r="BD28" s="5">
        <f aca="1">Param.FestgeldZinssatz</f>
        <v>0.02</v>
      </c>
      <c r="BE28" s="40">
        <f>(AP28+AQ28-BC28)*BD28</f>
        <v>5127.75465274997987</v>
      </c>
      <c r="BF28" s="40">
        <f aca="1">IF(BE28&gt;Param.SparerPauschbetrag,Param.SparerPauschbetrag,BE28)</f>
        <v>1000</v>
      </c>
      <c r="BG28" s="40">
        <f>BE28-BF28</f>
        <v>4127.75465274997987</v>
      </c>
      <c r="BH28" s="40">
        <f aca="1">BG28*Param.KapSt</f>
        <v>1088.69528966280723</v>
      </c>
      <c r="BI28" s="40">
        <f>BE28-BH28</f>
        <v>4039.05936308716991</v>
      </c>
      <c r="BJ28" s="63">
        <f>AP28+SUM(AQ28:BB28)-BC28+BI28</f>
        <v>260426.792000586167</v>
      </c>
      <c r="BK28" s="40">
        <f>AL28+BJ28</f>
        <v>1263192.69800358592</v>
      </c>
      <c r="BL28" s="40">
        <f aca="1">BK28/(1+Param.Inflationsrate)^(A28-Param.Startjahr)</f>
        <v>715847.813071118901</v>
      </c>
      <c r="BM28" s="52" t="str">
        <f>IF(BK28&lt;N28,A28,"")</f>
        <v/>
      </c>
      <c r="BN28" s="40">
        <f>AH28+BC28</f>
        <v>68604.4427629395068</v>
      </c>
      <c r="BO28" s="40">
        <f>SUM(AR28:BB28)</f>
        <v>0</v>
      </c>
      <c r="BP28" s="40">
        <f>BN28+(-1*BO28)</f>
        <v>68604.4427629395068</v>
      </c>
      <c r="BQ28" s="40">
        <f>AI28+BH28</f>
        <v>8961.30602501450994</v>
      </c>
      <c r="BR28" s="5">
        <f>IF(BK28&gt;0,BP28/BK28,0)</f>
        <v>0.0543103541299480597</v>
      </c>
    </row>
    <row r="29" spans="1:70">
      <c r="A29">
        <f>A28+1</f>
        <v>2050</v>
      </c>
      <c r="B29">
        <f>B5+(25-1)</f>
        <v>54</v>
      </c>
      <c r="C29" s="10">
        <f aca="1">IF(A29&lt;Param.FireStartjahr,0,Param.EntnahmeBetragStart*(1+Param.Inflationsrate)^(A29-Param.Startjahr))</f>
        <v>54261.7784874776989</v>
      </c>
      <c r="D29" s="40">
        <f aca="1">IF(OR($A29&lt;Param.SonstigRegelmJahrBeginn1,$A29&gt;Param.SonstigRegelmJahrEnd1),0,Param.SonstigRegelmBetragJaehrl1*(1+Param.SonstigRegelmSteig1)^(A29-Param.SonstigRegelmJahrBeginn1))</f>
        <v>0</v>
      </c>
      <c r="E29" s="40">
        <f aca="1">IF(OR($A29&lt;Param.SonstigRegelmJahrBeginn2,$A29&gt;Param.SonstigRegelmJahrEnd2),0,Param.SonstigRegelmBetragJaehrl2*(1+Param.SonstigRegelmSteig2)^($A29-Param.SonstigRegelmJahrBeginn2))</f>
        <v>-7949.3817830400003</v>
      </c>
      <c r="F29" s="40">
        <f aca="1">IF(OR($A29&lt;Param.SonstigRegelmJahrBeginn3,$A29&gt;Param.SonstigRegelmJahrEnd3),0,Param.SonstigRegelmBetragJaehrl3*(1+Param.SonstigRegelmSteig3)^($A29-Param.SonstigRegelmJahrBeginn3))</f>
        <v>0</v>
      </c>
      <c r="G29" s="40">
        <f aca="1">IF(OR($A29&lt;Param.SonstigRegelmJahrBeginn4,$A29&gt;Param.SonstigRegelmJahrEnd4),0,Param.SonstigRegelmBetragJaehrl4*(1+Param.SonstigRegelmSteig4)^($A29-Param.SonstigRegelmJahrBeginn4))</f>
        <v>0</v>
      </c>
      <c r="H29" s="40">
        <f aca="1">IF(OR($A29&lt;Param.SonstigRegelmJahrBeginn5,$A29&gt;Param.SonstigRegelmJahrEnd5),0,Param.SonstigRegelmBetragJaehrl5*(1+Param.SonstigRegelmSteig5)^($A29-Param.SonstigRegelmJahrBeginn5))</f>
        <v>0</v>
      </c>
      <c r="I29" s="40">
        <f aca="1">IF(OR($A29&lt;Param.SonstigRegelmJahrBeginn6,$A29&gt;Param.SonstigRegelmJahrEnd6),0,Param.SonstigRegelmBetragJaehrl6*(1+Param.SonstigRegelmSteig6)^($A29-Param.SonstigRegelmJahrBeginn6))</f>
        <v>0</v>
      </c>
      <c r="J29" s="40">
        <f aca="1">IF(OR($A29&lt;Param.SonstigRegelmJahrBeginn7,$A29&gt;Param.SonstigRegelmJahrEnd7),0,Param.SonstigRegelmBetragJaehrl7*(1+Param.SonstigRegelmSteig7)^($A29-Param.SonstigRegelmJahrBeginn7))</f>
        <v>0</v>
      </c>
      <c r="K29" s="40">
        <f aca="1">IF(OR($A29&lt;Param.SonstigRegelmJahrBeginn8,$A29&gt;Param.SonstigRegelmJahrEnd8),0,Param.SonstigRegelmBetragJaehrl8*(1+Param.SonstigRegelmSteig8)^($A29-Param.SonstigRegelmJahrBeginn8))</f>
        <v>0</v>
      </c>
      <c r="L29" s="40">
        <f aca="1">IF(OR($A29&lt;Param.SonstigRegelmJahrBeginn9,$A29&gt;Param.SonstigRegelmJahrEnd9),0,Param.SonstigRegelmBetragJaehrl9*(1+Param.SonstigRegelmSteig9)^($A29-Param.SonstigRegelmJahrBeginn9))</f>
        <v>0</v>
      </c>
      <c r="M29" s="40">
        <f aca="1">IF(OR($A29&lt;Param.SonstigRegelmJahrBeginn10,$A29&gt;Param.SonstigRegelmJahrEnd10),0,Param.SonstigRegelmBetragJaehrl10*(1+Param.SonstigRegelmSteig10)^($A29-Param.SonstigRegelmJahrBeginn10))</f>
        <v>0</v>
      </c>
      <c r="N29" s="10">
        <f>MAX(0,C29-SUM(D29:M29))</f>
        <v>62211.1602705176992</v>
      </c>
      <c r="O29" s="10">
        <f>IF(N29&lt;=0,SUM(D29:M29)-C29,0)</f>
        <v>0</v>
      </c>
      <c r="P29" s="10">
        <f>S29+AP29</f>
        <v>1263192.69800358592</v>
      </c>
      <c r="Q29" s="11">
        <f>IF(P29&gt;0,S29/P29,0)</f>
        <v>0.793834470059729647</v>
      </c>
      <c r="R29" s="11">
        <f>IF(P29&gt;0,AP29/P29,0)</f>
        <v>0.206165529940267156</v>
      </c>
      <c r="S29" s="10">
        <f>AL28</f>
        <v>1002765.90600299777</v>
      </c>
      <c r="T29" s="40">
        <f>AM28</f>
        <v>780470.473649414023</v>
      </c>
      <c r="U29" s="40">
        <f aca="1">IF(A29&lt;Param.FireStartjahr,Param.SparrateDepotMonatl*12*(1+Param.SparrateDynamikJaehrl)^($A29-Param.Startjahr),0)</f>
        <v>0</v>
      </c>
      <c r="V29" s="40">
        <f aca="1">IF(AND(Param.SonstigEinmaligKonto1="Depot",$A29=Param.SonstigEinmaligJahr1),Param.SonstigEinmaligBetrag1,0)</f>
        <v>0</v>
      </c>
      <c r="W29" s="40">
        <f aca="1">IF(AND(Param.SonstigEinmaligKonto2="Depot",$A29=Param.SonstigEinmaligJahr2),Param.SonstigEinmaligBetrag2,0)</f>
        <v>0</v>
      </c>
      <c r="X29" s="40">
        <f aca="1">IF(AND(Param.SonstigEinmaligKonto3="Depot",$A29=Param.SonstigEinmaligJahr3),Param.SonstigEinmaligBetrag3,0)</f>
        <v>0</v>
      </c>
      <c r="Y29" s="40">
        <f aca="1">IF(AND(Param.SonstigEinmaligKonto4="Depot",$A29=Param.SonstigEinmaligJahr4),Param.SonstigEinmaligBetrag4,0)</f>
        <v>0</v>
      </c>
      <c r="Z29" s="40">
        <f aca="1">IF(AND(Param.SonstigEinmaligKonto5="Depot",$A29=Param.SonstigEinmaligJahr5),Param.SonstigEinmaligBetrag5,0)</f>
        <v>0</v>
      </c>
      <c r="AA29" s="40">
        <f aca="1">IF(AND(Param.SonstigEinmaligKonto6="Depot",$A29=Param.SonstigEinmaligJahr6),Param.SonstigEinmaligBetrag6,0)</f>
        <v>0</v>
      </c>
      <c r="AB29" s="40">
        <f aca="1">IF(AND(Param.SonstigEinmaligKonto7="Depot",$A29=Param.SonstigEinmaligJahr7),Param.SonstigEinmaligBetrag7,0)</f>
        <v>0</v>
      </c>
      <c r="AC29" s="40">
        <f aca="1">IF(AND(Param.SonstigEinmaligKonto8="Depot",$A29=Param.SonstigEinmaligJahr8),Param.SonstigEinmaligBetrag8,0)</f>
        <v>0</v>
      </c>
      <c r="AD29" s="40">
        <f aca="1">IF(AND(Param.SonstigEinmaligKonto9="Depot",$A29=Param.SonstigEinmaligJahr9),Param.SonstigEinmaligBetrag9,0)</f>
        <v>0</v>
      </c>
      <c r="AE29" s="40">
        <f aca="1">IF(AND(Param.SonstigEinmaligKonto10="Depot",$A29=Param.SonstigEinmaligJahr10),Param.SonstigEinmaligBetrag10,0)</f>
        <v>0</v>
      </c>
      <c r="AF29" s="40">
        <f aca="1">Param.SparerPauschbetrag-BF29</f>
        <v>0</v>
      </c>
      <c r="AG29" s="40">
        <f aca="1">IF(AND(A29&gt;=Param.FireStartjahr,S29&gt;0),MIN(N29*Q29,S29),0)</f>
        <v>49385.3634451473408</v>
      </c>
      <c r="AH29" s="40">
        <f aca="1">IF(AG29&lt;=0,0,IF(S29&lt;=0,0,AG29/(1-MAX(0,((T29/S29)*(1-Param.Teilfreistellung)-MIN(AF29,AG29)/AG29)*Param.KapSt))))</f>
        <v>57672.760926972689</v>
      </c>
      <c r="AI29" s="40">
        <f>AH29-AG29</f>
        <v>8287.39748182540643</v>
      </c>
      <c r="AJ29" s="40">
        <f>T29-AH29*(T29/S29)</f>
        <v>735582.741858890629</v>
      </c>
      <c r="AK29" s="40">
        <f>S29-AH29</f>
        <v>945093.145076027256</v>
      </c>
      <c r="AL29" s="40">
        <f>FV(AO29,12,-(U29/12),-AK29,0)</f>
        <v>1001798.73378055182</v>
      </c>
      <c r="AM29" s="40">
        <f>AJ29+AL29-AK29-U29</f>
        <v>792288.330563412979</v>
      </c>
      <c r="AN29" s="5">
        <f>AM29/AL29</f>
        <v>0.790865773580592801</v>
      </c>
      <c r="AO29" s="5">
        <f aca="1">(1+IF(AND(A29&gt;=Param.DepotRenditeSpezBeginn1,A29&lt;=Param.DepotRenditeSpezEnde1),Param.DepotRenditeSpezProz1,IF(AND(A29&gt;=Param.DepotRenditeSpezBeginn2,A29&lt;=Param.DepotRenditeSpezEnde2),Param.DepotRenditeSpezProz2,IF(AND(A29&gt;=Param.DepotRenditeSpezBeginn3,A29&lt;=Param.DepotRenditeSpezEnde3),Param.DepotRenditeSpezProz3,IF(AND(A29&gt;=Param.DepotRenditeSpezBeginn4,A29&lt;=Param.DepotRenditeSpezEnde4),Param.DepotRenditeSpezProz4,IF(AND(A29&gt;=Param.DepotRenditeSpezBeginn5,A29&lt;=Param.DepotRenditeSpezEnde5),Param.DepotRenditeSpezProz5,Param.DepotRenditeDefault))))))^(1/12)-1</f>
        <v>0.00486755056533993979</v>
      </c>
      <c r="AP29" s="40">
        <f>BJ28</f>
        <v>260426.792000586167</v>
      </c>
      <c r="AQ29" s="40">
        <f aca="1">IF(A29&lt;Param.FireStartjahr,Param.SparrateFestgeldMonatl*12*(1+Param.SparrateDynamikJaehrl)^($A29-Param.Startjahr),0)</f>
        <v>0</v>
      </c>
      <c r="AR29" s="40">
        <f>O29</f>
        <v>0</v>
      </c>
      <c r="AS29" s="40">
        <f aca="1">IF(AND(Param.SonstigEinmaligKonto1="Festgeld",$A29=Param.SonstigEinmaligJahr1),Param.SonstigEinmaligBetrag1,0)</f>
        <v>0</v>
      </c>
      <c r="AT29" s="40">
        <f aca="1">IF(AND(Param.SonstigEinmaligKonto2="Festgeld",$A29=Param.SonstigEinmaligJahr2),Param.SonstigEinmaligBetrag2,0)</f>
        <v>0</v>
      </c>
      <c r="AU29" s="40">
        <f aca="1">IF(AND(Param.SonstigEinmaligKonto3="Festgeld",$A29=Param.SonstigEinmaligJahr3),Param.SonstigEinmaligBetrag3,0)</f>
        <v>0</v>
      </c>
      <c r="AV29" s="40">
        <f aca="1">IF(AND(Param.SonstigEinmaligKonto4="Festgeld",$A29=Param.SonstigEinmaligJahr4),Param.SonstigEinmaligBetrag4,0)</f>
        <v>0</v>
      </c>
      <c r="AW29" s="40">
        <f aca="1">IF(AND(Param.SonstigEinmaligKonto5="Festgeld",$A29=Param.SonstigEinmaligJahr5),Param.SonstigEinmaligBetrag5,0)</f>
        <v>0</v>
      </c>
      <c r="AX29" s="40">
        <f aca="1">IF(AND(Param.SonstigEinmaligKonto6="Festgeld",$A29=Param.SonstigEinmaligJahr6),Param.SonstigEinmaligBetrag6,0)</f>
        <v>0</v>
      </c>
      <c r="AY29" s="40">
        <f aca="1">IF(AND(Param.SonstigEinmaligKonto7="Festgeld",$A29=Param.SonstigEinmaligJahr7),Param.SonstigEinmaligBetrag7,0)</f>
        <v>0</v>
      </c>
      <c r="AZ29" s="40">
        <f aca="1">IF(AND(Param.SonstigEinmaligKonto8="Festgeld",$A29=Param.SonstigEinmaligJahr8),Param.SonstigEinmaligBetrag8,0)</f>
        <v>0</v>
      </c>
      <c r="BA29" s="40">
        <f aca="1">IF(AND(Param.SonstigEinmaligKonto9="Festgeld",$A29=Param.SonstigEinmaligJahr9),Param.SonstigEinmaligBetrag9,0)</f>
        <v>0</v>
      </c>
      <c r="BB29" s="40">
        <f aca="1">IF(AND(Param.SonstigEinmaligKonto10="Festgeld",$A29=Param.SonstigEinmaligJahr10),Param.SonstigEinmaligBetrag10,0)</f>
        <v>0</v>
      </c>
      <c r="BC29" s="40">
        <f aca="1">IF(AND(A29&gt;=Param.FireStartjahr,AP29&gt;0),MIN(N29*R29,AP29),0)</f>
        <v>12825.7968253701656</v>
      </c>
      <c r="BD29" s="5">
        <f aca="1">Param.FestgeldZinssatz</f>
        <v>0.02</v>
      </c>
      <c r="BE29" s="40">
        <f>(AP29+AQ29-BC29)*BD29</f>
        <v>4952.0199035043197</v>
      </c>
      <c r="BF29" s="40">
        <f aca="1">IF(BE29&gt;Param.SparerPauschbetrag,Param.SparerPauschbetrag,BE29)</f>
        <v>1000</v>
      </c>
      <c r="BG29" s="40">
        <f>BE29-BF29</f>
        <v>3952.0199035043197</v>
      </c>
      <c r="BH29" s="40">
        <f aca="1">BG29*Param.KapSt</f>
        <v>1042.34524954926428</v>
      </c>
      <c r="BI29" s="40">
        <f>BE29-BH29</f>
        <v>3909.67465395505951</v>
      </c>
      <c r="BJ29" s="63">
        <f>AP29+SUM(AQ29:BB29)-BC29+BI29</f>
        <v>251510.669829171064</v>
      </c>
      <c r="BK29" s="40">
        <f>AL29+BJ29</f>
        <v>1253309.40360972099</v>
      </c>
      <c r="BL29" s="40">
        <f aca="1">BK29/(1+Param.Inflationsrate)^(A29-Param.Startjahr)</f>
        <v>692923.880424756091</v>
      </c>
      <c r="BM29" s="52" t="str">
        <f>IF(BK29&lt;N29,A29,"")</f>
        <v/>
      </c>
      <c r="BN29" s="40">
        <f>AH29+BC29</f>
        <v>70498.5577523429092</v>
      </c>
      <c r="BO29" s="40">
        <f>SUM(AR29:BB29)</f>
        <v>0</v>
      </c>
      <c r="BP29" s="40">
        <f>BN29+(-1*BO29)</f>
        <v>70498.5577523428947</v>
      </c>
      <c r="BQ29" s="40">
        <f>AI29+BH29</f>
        <v>9329.74273137467026</v>
      </c>
      <c r="BR29" s="5">
        <f>IF(BK29&gt;0,BP29/BK29,0)</f>
        <v>0.0562499232426537432</v>
      </c>
    </row>
    <row r="30" spans="1:70">
      <c r="A30">
        <f>A29+1</f>
        <v>2051</v>
      </c>
      <c r="B30">
        <f>B5+(26-1)</f>
        <v>55</v>
      </c>
      <c r="C30" s="10">
        <f aca="1">IF(A30&lt;Param.FireStartjahr,0,Param.EntnahmeBetragStart*(1+Param.Inflationsrate)^(A30-Param.Startjahr))</f>
        <v>55618.3229496644999</v>
      </c>
      <c r="D30" s="40">
        <f aca="1">IF(OR($A30&lt;Param.SonstigRegelmJahrBeginn1,$A30&gt;Param.SonstigRegelmJahrEnd1),0,Param.SonstigRegelmBetragJaehrl1*(1+Param.SonstigRegelmSteig1)^(A30-Param.SonstigRegelmJahrBeginn1))</f>
        <v>0</v>
      </c>
      <c r="E30" s="40">
        <f aca="1">IF(OR($A30&lt;Param.SonstigRegelmJahrBeginn2,$A30&gt;Param.SonstigRegelmJahrEnd2),0,Param.SonstigRegelmBetragJaehrl2*(1+Param.SonstigRegelmSteig2)^($A30-Param.SonstigRegelmJahrBeginn2))</f>
        <v>-8108.36941870080045</v>
      </c>
      <c r="F30" s="40">
        <f aca="1">IF(OR($A30&lt;Param.SonstigRegelmJahrBeginn3,$A30&gt;Param.SonstigRegelmJahrEnd3),0,Param.SonstigRegelmBetragJaehrl3*(1+Param.SonstigRegelmSteig3)^($A30-Param.SonstigRegelmJahrBeginn3))</f>
        <v>0</v>
      </c>
      <c r="G30" s="40">
        <f aca="1">IF(OR($A30&lt;Param.SonstigRegelmJahrBeginn4,$A30&gt;Param.SonstigRegelmJahrEnd4),0,Param.SonstigRegelmBetragJaehrl4*(1+Param.SonstigRegelmSteig4)^($A30-Param.SonstigRegelmJahrBeginn4))</f>
        <v>0</v>
      </c>
      <c r="H30" s="40">
        <f aca="1">IF(OR($A30&lt;Param.SonstigRegelmJahrBeginn5,$A30&gt;Param.SonstigRegelmJahrEnd5),0,Param.SonstigRegelmBetragJaehrl5*(1+Param.SonstigRegelmSteig5)^($A30-Param.SonstigRegelmJahrBeginn5))</f>
        <v>0</v>
      </c>
      <c r="I30" s="40">
        <f aca="1">IF(OR($A30&lt;Param.SonstigRegelmJahrBeginn6,$A30&gt;Param.SonstigRegelmJahrEnd6),0,Param.SonstigRegelmBetragJaehrl6*(1+Param.SonstigRegelmSteig6)^($A30-Param.SonstigRegelmJahrBeginn6))</f>
        <v>0</v>
      </c>
      <c r="J30" s="40">
        <f aca="1">IF(OR($A30&lt;Param.SonstigRegelmJahrBeginn7,$A30&gt;Param.SonstigRegelmJahrEnd7),0,Param.SonstigRegelmBetragJaehrl7*(1+Param.SonstigRegelmSteig7)^($A30-Param.SonstigRegelmJahrBeginn7))</f>
        <v>0</v>
      </c>
      <c r="K30" s="40">
        <f aca="1">IF(OR($A30&lt;Param.SonstigRegelmJahrBeginn8,$A30&gt;Param.SonstigRegelmJahrEnd8),0,Param.SonstigRegelmBetragJaehrl8*(1+Param.SonstigRegelmSteig8)^($A30-Param.SonstigRegelmJahrBeginn8))</f>
        <v>0</v>
      </c>
      <c r="L30" s="40">
        <f aca="1">IF(OR($A30&lt;Param.SonstigRegelmJahrBeginn9,$A30&gt;Param.SonstigRegelmJahrEnd9),0,Param.SonstigRegelmBetragJaehrl9*(1+Param.SonstigRegelmSteig9)^($A30-Param.SonstigRegelmJahrBeginn9))</f>
        <v>0</v>
      </c>
      <c r="M30" s="40">
        <f aca="1">IF(OR($A30&lt;Param.SonstigRegelmJahrBeginn10,$A30&gt;Param.SonstigRegelmJahrEnd10),0,Param.SonstigRegelmBetragJaehrl10*(1+Param.SonstigRegelmSteig10)^($A30-Param.SonstigRegelmJahrBeginn10))</f>
        <v>0</v>
      </c>
      <c r="N30" s="10">
        <f>MAX(0,C30-SUM(D30:M30))</f>
        <v>63726.6923683653004</v>
      </c>
      <c r="O30" s="10">
        <f>IF(N30&lt;=0,SUM(D30:M30)-C30,0)</f>
        <v>0</v>
      </c>
      <c r="P30" s="10">
        <f>S30+AP30</f>
        <v>1253309.40360972099</v>
      </c>
      <c r="Q30" s="11">
        <f>IF(P30&gt;0,S30/P30,0)</f>
        <v>0.799322761718071018</v>
      </c>
      <c r="R30" s="11">
        <f>IF(P30&gt;0,AP30/P30,0)</f>
        <v>0.200677238281929693</v>
      </c>
      <c r="S30" s="10">
        <f>AL29</f>
        <v>1001798.73378055182</v>
      </c>
      <c r="T30" s="40">
        <f>AM29</f>
        <v>792288.330563412979</v>
      </c>
      <c r="U30" s="40">
        <f aca="1">IF(A30&lt;Param.FireStartjahr,Param.SparrateDepotMonatl*12*(1+Param.SparrateDynamikJaehrl)^($A30-Param.Startjahr),0)</f>
        <v>0</v>
      </c>
      <c r="V30" s="40">
        <f aca="1">IF(AND(Param.SonstigEinmaligKonto1="Depot",$A30=Param.SonstigEinmaligJahr1),Param.SonstigEinmaligBetrag1,0)</f>
        <v>0</v>
      </c>
      <c r="W30" s="40">
        <f aca="1">IF(AND(Param.SonstigEinmaligKonto2="Depot",$A30=Param.SonstigEinmaligJahr2),Param.SonstigEinmaligBetrag2,0)</f>
        <v>0</v>
      </c>
      <c r="X30" s="40">
        <f aca="1">IF(AND(Param.SonstigEinmaligKonto3="Depot",$A30=Param.SonstigEinmaligJahr3),Param.SonstigEinmaligBetrag3,0)</f>
        <v>0</v>
      </c>
      <c r="Y30" s="40">
        <f aca="1">IF(AND(Param.SonstigEinmaligKonto4="Depot",$A30=Param.SonstigEinmaligJahr4),Param.SonstigEinmaligBetrag4,0)</f>
        <v>0</v>
      </c>
      <c r="Z30" s="40">
        <f aca="1">IF(AND(Param.SonstigEinmaligKonto5="Depot",$A30=Param.SonstigEinmaligJahr5),Param.SonstigEinmaligBetrag5,0)</f>
        <v>0</v>
      </c>
      <c r="AA30" s="40">
        <f aca="1">IF(AND(Param.SonstigEinmaligKonto6="Depot",$A30=Param.SonstigEinmaligJahr6),Param.SonstigEinmaligBetrag6,0)</f>
        <v>0</v>
      </c>
      <c r="AB30" s="40">
        <f aca="1">IF(AND(Param.SonstigEinmaligKonto7="Depot",$A30=Param.SonstigEinmaligJahr7),Param.SonstigEinmaligBetrag7,0)</f>
        <v>0</v>
      </c>
      <c r="AC30" s="40">
        <f aca="1">IF(AND(Param.SonstigEinmaligKonto8="Depot",$A30=Param.SonstigEinmaligJahr8),Param.SonstigEinmaligBetrag8,0)</f>
        <v>0</v>
      </c>
      <c r="AD30" s="40">
        <f aca="1">IF(AND(Param.SonstigEinmaligKonto9="Depot",$A30=Param.SonstigEinmaligJahr9),Param.SonstigEinmaligBetrag9,0)</f>
        <v>0</v>
      </c>
      <c r="AE30" s="40">
        <f aca="1">IF(AND(Param.SonstigEinmaligKonto10="Depot",$A30=Param.SonstigEinmaligJahr10),Param.SonstigEinmaligBetrag10,0)</f>
        <v>0</v>
      </c>
      <c r="AF30" s="40">
        <f aca="1">Param.SparerPauschbetrag-BF30</f>
        <v>0</v>
      </c>
      <c r="AG30" s="40">
        <f aca="1">IF(AND(A30&gt;=Param.FireStartjahr,S30&gt;0),MIN(N30*Q30,S30),0)</f>
        <v>50938.195739039671</v>
      </c>
      <c r="AH30" s="40">
        <f aca="1">IF(AG30&lt;=0,0,IF(S30&lt;=0,0,AG30/(1-MAX(0,((T30/S30)*(1-Param.Teilfreistellung)-MIN(AF30,AG30)/AG30)*Param.KapSt))))</f>
        <v>59647.5486590749279</v>
      </c>
      <c r="AI30" s="40">
        <f>AH30-AG30</f>
        <v>8709.35292003519862</v>
      </c>
      <c r="AJ30" s="40">
        <f>T30-AH30*(T30/S30)</f>
        <v>745115.125850967714</v>
      </c>
      <c r="AK30" s="40">
        <f>S30-AH30</f>
        <v>942151.18512147502</v>
      </c>
      <c r="AL30" s="40">
        <f>FV(AO30,12,-(U30/12),-AK30,0)</f>
        <v>998680.25622872659</v>
      </c>
      <c r="AM30" s="40">
        <f>AJ30+AL30-AK30-U30</f>
        <v>801644.196958224988</v>
      </c>
      <c r="AN30" s="5">
        <f>AM30/AL30</f>
        <v>0.802703559981689452</v>
      </c>
      <c r="AO30" s="5">
        <f aca="1">(1+IF(AND(A30&gt;=Param.DepotRenditeSpezBeginn1,A30&lt;=Param.DepotRenditeSpezEnde1),Param.DepotRenditeSpezProz1,IF(AND(A30&gt;=Param.DepotRenditeSpezBeginn2,A30&lt;=Param.DepotRenditeSpezEnde2),Param.DepotRenditeSpezProz2,IF(AND(A30&gt;=Param.DepotRenditeSpezBeginn3,A30&lt;=Param.DepotRenditeSpezEnde3),Param.DepotRenditeSpezProz3,IF(AND(A30&gt;=Param.DepotRenditeSpezBeginn4,A30&lt;=Param.DepotRenditeSpezEnde4),Param.DepotRenditeSpezProz4,IF(AND(A30&gt;=Param.DepotRenditeSpezBeginn5,A30&lt;=Param.DepotRenditeSpezEnde5),Param.DepotRenditeSpezProz5,Param.DepotRenditeDefault))))))^(1/12)-1</f>
        <v>0.00486755056533993979</v>
      </c>
      <c r="AP30" s="40">
        <f>BJ29</f>
        <v>251510.669829171064</v>
      </c>
      <c r="AQ30" s="40">
        <f aca="1">IF(A30&lt;Param.FireStartjahr,Param.SparrateFestgeldMonatl*12*(1+Param.SparrateDynamikJaehrl)^($A30-Param.Startjahr),0)</f>
        <v>0</v>
      </c>
      <c r="AR30" s="40">
        <f>O30</f>
        <v>0</v>
      </c>
      <c r="AS30" s="40">
        <f aca="1">IF(AND(Param.SonstigEinmaligKonto1="Festgeld",$A30=Param.SonstigEinmaligJahr1),Param.SonstigEinmaligBetrag1,0)</f>
        <v>0</v>
      </c>
      <c r="AT30" s="40">
        <f aca="1">IF(AND(Param.SonstigEinmaligKonto2="Festgeld",$A30=Param.SonstigEinmaligJahr2),Param.SonstigEinmaligBetrag2,0)</f>
        <v>0</v>
      </c>
      <c r="AU30" s="40">
        <f aca="1">IF(AND(Param.SonstigEinmaligKonto3="Festgeld",$A30=Param.SonstigEinmaligJahr3),Param.SonstigEinmaligBetrag3,0)</f>
        <v>0</v>
      </c>
      <c r="AV30" s="40">
        <f aca="1">IF(AND(Param.SonstigEinmaligKonto4="Festgeld",$A30=Param.SonstigEinmaligJahr4),Param.SonstigEinmaligBetrag4,0)</f>
        <v>0</v>
      </c>
      <c r="AW30" s="40">
        <f aca="1">IF(AND(Param.SonstigEinmaligKonto5="Festgeld",$A30=Param.SonstigEinmaligJahr5),Param.SonstigEinmaligBetrag5,0)</f>
        <v>0</v>
      </c>
      <c r="AX30" s="40">
        <f aca="1">IF(AND(Param.SonstigEinmaligKonto6="Festgeld",$A30=Param.SonstigEinmaligJahr6),Param.SonstigEinmaligBetrag6,0)</f>
        <v>0</v>
      </c>
      <c r="AY30" s="40">
        <f aca="1">IF(AND(Param.SonstigEinmaligKonto7="Festgeld",$A30=Param.SonstigEinmaligJahr7),Param.SonstigEinmaligBetrag7,0)</f>
        <v>0</v>
      </c>
      <c r="AZ30" s="40">
        <f aca="1">IF(AND(Param.SonstigEinmaligKonto8="Festgeld",$A30=Param.SonstigEinmaligJahr8),Param.SonstigEinmaligBetrag8,0)</f>
        <v>0</v>
      </c>
      <c r="BA30" s="40">
        <f aca="1">IF(AND(Param.SonstigEinmaligKonto9="Festgeld",$A30=Param.SonstigEinmaligJahr9),Param.SonstigEinmaligBetrag9,0)</f>
        <v>0</v>
      </c>
      <c r="BB30" s="40">
        <f aca="1">IF(AND(Param.SonstigEinmaligKonto10="Festgeld",$A30=Param.SonstigEinmaligJahr10),Param.SonstigEinmaligBetrag10,0)</f>
        <v>0</v>
      </c>
      <c r="BC30" s="40">
        <f aca="1">IF(AND(A30&gt;=Param.FireStartjahr,AP30&gt;0),MIN(N30*R30,AP30),0)</f>
        <v>12788.496629325693</v>
      </c>
      <c r="BD30" s="5">
        <f aca="1">Param.FestgeldZinssatz</f>
        <v>0.02</v>
      </c>
      <c r="BE30" s="40">
        <f>(AP30+AQ30-BC30)*BD30</f>
        <v>4774.44346399690039</v>
      </c>
      <c r="BF30" s="40">
        <f aca="1">IF(BE30&gt;Param.SparerPauschbetrag,Param.SparerPauschbetrag,BE30)</f>
        <v>1000</v>
      </c>
      <c r="BG30" s="40">
        <f>BE30-BF30</f>
        <v>3774.44346399690039</v>
      </c>
      <c r="BH30" s="40">
        <f aca="1">BG30*Param.KapSt</f>
        <v>995.509463629182278</v>
      </c>
      <c r="BI30" s="40">
        <f>BE30-BH30</f>
        <v>3778.93400036771845</v>
      </c>
      <c r="BJ30" s="63">
        <f>AP30+SUM(AQ30:BB30)-BC30+BI30</f>
        <v>242501.107200212718</v>
      </c>
      <c r="BK30" s="40">
        <f>AL30+BJ30</f>
        <v>1241181.36342894007</v>
      </c>
      <c r="BL30" s="40">
        <f aca="1">BK30/(1+Param.Inflationsrate)^(A30-Param.Startjahr)</f>
        <v>669481.547233398072</v>
      </c>
      <c r="BM30" s="52" t="str">
        <f>IF(BK30&lt;N30,A30,"")</f>
        <v/>
      </c>
      <c r="BN30" s="40">
        <f>AH30+BC30</f>
        <v>72436.0452884005936</v>
      </c>
      <c r="BO30" s="40">
        <f>SUM(AR30:BB30)</f>
        <v>0</v>
      </c>
      <c r="BP30" s="40">
        <f>BN30+(-1*BO30)</f>
        <v>72436.0452884005936</v>
      </c>
      <c r="BQ30" s="40">
        <f>AI30+BH30</f>
        <v>9704.86238366438192</v>
      </c>
      <c r="BR30" s="5">
        <f>IF(BK30&gt;0,BP30/BK30,0)</f>
        <v>0.058360564718991359</v>
      </c>
    </row>
    <row r="31" spans="1:70">
      <c r="A31">
        <f>A30+1</f>
        <v>2052</v>
      </c>
      <c r="B31">
        <f>B5+(27-1)</f>
        <v>56</v>
      </c>
      <c r="C31" s="10">
        <f aca="1">IF(A31&lt;Param.FireStartjahr,0,Param.EntnahmeBetragStart*(1+Param.Inflationsrate)^(A31-Param.Startjahr))</f>
        <v>57008.7810234062999</v>
      </c>
      <c r="D31" s="40">
        <f aca="1">IF(OR($A31&lt;Param.SonstigRegelmJahrBeginn1,$A31&gt;Param.SonstigRegelmJahrEnd1),0,Param.SonstigRegelmBetragJaehrl1*(1+Param.SonstigRegelmSteig1)^(A31-Param.SonstigRegelmJahrBeginn1))</f>
        <v>0</v>
      </c>
      <c r="E31" s="40">
        <f aca="1">IF(OR($A31&lt;Param.SonstigRegelmJahrBeginn2,$A31&gt;Param.SonstigRegelmJahrEnd2),0,Param.SonstigRegelmBetragJaehrl2*(1+Param.SonstigRegelmSteig2)^($A31-Param.SonstigRegelmJahrBeginn2))</f>
        <v>-8270.53680707481544</v>
      </c>
      <c r="F31" s="40">
        <f aca="1">IF(OR($A31&lt;Param.SonstigRegelmJahrBeginn3,$A31&gt;Param.SonstigRegelmJahrEnd3),0,Param.SonstigRegelmBetragJaehrl3*(1+Param.SonstigRegelmSteig3)^($A31-Param.SonstigRegelmJahrBeginn3))</f>
        <v>0</v>
      </c>
      <c r="G31" s="40">
        <f aca="1">IF(OR($A31&lt;Param.SonstigRegelmJahrBeginn4,$A31&gt;Param.SonstigRegelmJahrEnd4),0,Param.SonstigRegelmBetragJaehrl4*(1+Param.SonstigRegelmSteig4)^($A31-Param.SonstigRegelmJahrBeginn4))</f>
        <v>0</v>
      </c>
      <c r="H31" s="40">
        <f aca="1">IF(OR($A31&lt;Param.SonstigRegelmJahrBeginn5,$A31&gt;Param.SonstigRegelmJahrEnd5),0,Param.SonstigRegelmBetragJaehrl5*(1+Param.SonstigRegelmSteig5)^($A31-Param.SonstigRegelmJahrBeginn5))</f>
        <v>0</v>
      </c>
      <c r="I31" s="40">
        <f aca="1">IF(OR($A31&lt;Param.SonstigRegelmJahrBeginn6,$A31&gt;Param.SonstigRegelmJahrEnd6),0,Param.SonstigRegelmBetragJaehrl6*(1+Param.SonstigRegelmSteig6)^($A31-Param.SonstigRegelmJahrBeginn6))</f>
        <v>0</v>
      </c>
      <c r="J31" s="40">
        <f aca="1">IF(OR($A31&lt;Param.SonstigRegelmJahrBeginn7,$A31&gt;Param.SonstigRegelmJahrEnd7),0,Param.SonstigRegelmBetragJaehrl7*(1+Param.SonstigRegelmSteig7)^($A31-Param.SonstigRegelmJahrBeginn7))</f>
        <v>0</v>
      </c>
      <c r="K31" s="40">
        <f aca="1">IF(OR($A31&lt;Param.SonstigRegelmJahrBeginn8,$A31&gt;Param.SonstigRegelmJahrEnd8),0,Param.SonstigRegelmBetragJaehrl8*(1+Param.SonstigRegelmSteig8)^($A31-Param.SonstigRegelmJahrBeginn8))</f>
        <v>0</v>
      </c>
      <c r="L31" s="40">
        <f aca="1">IF(OR($A31&lt;Param.SonstigRegelmJahrBeginn9,$A31&gt;Param.SonstigRegelmJahrEnd9),0,Param.SonstigRegelmBetragJaehrl9*(1+Param.SonstigRegelmSteig9)^($A31-Param.SonstigRegelmJahrBeginn9))</f>
        <v>0</v>
      </c>
      <c r="M31" s="40">
        <f aca="1">IF(OR($A31&lt;Param.SonstigRegelmJahrBeginn10,$A31&gt;Param.SonstigRegelmJahrEnd10),0,Param.SonstigRegelmBetragJaehrl10*(1+Param.SonstigRegelmSteig10)^($A31-Param.SonstigRegelmJahrBeginn10))</f>
        <v>0</v>
      </c>
      <c r="N31" s="10">
        <f>MAX(0,C31-SUM(D31:M31))</f>
        <v>65279.3178304811227</v>
      </c>
      <c r="O31" s="10">
        <f>IF(N31&lt;=0,SUM(D31:M31)-C31,0)</f>
        <v>0</v>
      </c>
      <c r="P31" s="10">
        <f>S31+AP31</f>
        <v>1241181.36342894007</v>
      </c>
      <c r="Q31" s="11">
        <f>IF(P31&gt;0,S31/P31,0)</f>
        <v>0.804620731227973707</v>
      </c>
      <c r="R31" s="11">
        <f>IF(P31&gt;0,AP31/P31,0)</f>
        <v>0.195379268772026364</v>
      </c>
      <c r="S31" s="10">
        <f>AL30</f>
        <v>998680.25622872659</v>
      </c>
      <c r="T31" s="40">
        <f>AM30</f>
        <v>801644.196958224988</v>
      </c>
      <c r="U31" s="40">
        <f aca="1">IF(A31&lt;Param.FireStartjahr,Param.SparrateDepotMonatl*12*(1+Param.SparrateDynamikJaehrl)^($A31-Param.Startjahr),0)</f>
        <v>0</v>
      </c>
      <c r="V31" s="40">
        <f aca="1">IF(AND(Param.SonstigEinmaligKonto1="Depot",$A31=Param.SonstigEinmaligJahr1),Param.SonstigEinmaligBetrag1,0)</f>
        <v>0</v>
      </c>
      <c r="W31" s="40">
        <f aca="1">IF(AND(Param.SonstigEinmaligKonto2="Depot",$A31=Param.SonstigEinmaligJahr2),Param.SonstigEinmaligBetrag2,0)</f>
        <v>0</v>
      </c>
      <c r="X31" s="40">
        <f aca="1">IF(AND(Param.SonstigEinmaligKonto3="Depot",$A31=Param.SonstigEinmaligJahr3),Param.SonstigEinmaligBetrag3,0)</f>
        <v>0</v>
      </c>
      <c r="Y31" s="40">
        <f aca="1">IF(AND(Param.SonstigEinmaligKonto4="Depot",$A31=Param.SonstigEinmaligJahr4),Param.SonstigEinmaligBetrag4,0)</f>
        <v>0</v>
      </c>
      <c r="Z31" s="40">
        <f aca="1">IF(AND(Param.SonstigEinmaligKonto5="Depot",$A31=Param.SonstigEinmaligJahr5),Param.SonstigEinmaligBetrag5,0)</f>
        <v>0</v>
      </c>
      <c r="AA31" s="40">
        <f aca="1">IF(AND(Param.SonstigEinmaligKonto6="Depot",$A31=Param.SonstigEinmaligJahr6),Param.SonstigEinmaligBetrag6,0)</f>
        <v>0</v>
      </c>
      <c r="AB31" s="40">
        <f aca="1">IF(AND(Param.SonstigEinmaligKonto7="Depot",$A31=Param.SonstigEinmaligJahr7),Param.SonstigEinmaligBetrag7,0)</f>
        <v>0</v>
      </c>
      <c r="AC31" s="40">
        <f aca="1">IF(AND(Param.SonstigEinmaligKonto8="Depot",$A31=Param.SonstigEinmaligJahr8),Param.SonstigEinmaligBetrag8,0)</f>
        <v>0</v>
      </c>
      <c r="AD31" s="40">
        <f aca="1">IF(AND(Param.SonstigEinmaligKonto9="Depot",$A31=Param.SonstigEinmaligJahr9),Param.SonstigEinmaligBetrag9,0)</f>
        <v>0</v>
      </c>
      <c r="AE31" s="40">
        <f aca="1">IF(AND(Param.SonstigEinmaligKonto10="Depot",$A31=Param.SonstigEinmaligJahr10),Param.SonstigEinmaligBetrag10,0)</f>
        <v>0</v>
      </c>
      <c r="AF31" s="40">
        <f aca="1">Param.SparerPauschbetrag-BF31</f>
        <v>0</v>
      </c>
      <c r="AG31" s="40">
        <f aca="1">IF(AND(A31&gt;=Param.FireStartjahr,S31&gt;0),MIN(N31*Q31,S31),0)</f>
        <v>52525.0924468250232</v>
      </c>
      <c r="AH31" s="40">
        <f aca="1">IF(AG31&lt;=0,0,IF(S31&lt;=0,0,AG31/(1-MAX(0,((T31/S31)*(1-Param.Teilfreistellung)-MIN(AF31,AG31)/AG31)*Param.KapSt))))</f>
        <v>61663.5826599699431</v>
      </c>
      <c r="AI31" s="40">
        <f>AH31-AG31</f>
        <v>9138.49021314499987</v>
      </c>
      <c r="AJ31" s="40">
        <f>T31-AH31*(T31/S31)</f>
        <v>752146.619635841926</v>
      </c>
      <c r="AK31" s="40">
        <f>S31-AH31</f>
        <v>937016.673568757018</v>
      </c>
      <c r="AL31" s="40">
        <f>FV(AO31,12,-(U31/12),-AK31,0)</f>
        <v>993237.673982845619</v>
      </c>
      <c r="AM31" s="40">
        <f>AJ31+AL31-AK31-U31</f>
        <v>808367.620049932972</v>
      </c>
      <c r="AN31" s="5">
        <f>AM31/AL31</f>
        <v>0.813871283001589241</v>
      </c>
      <c r="AO31" s="5">
        <f aca="1">(1+IF(AND(A31&gt;=Param.DepotRenditeSpezBeginn1,A31&lt;=Param.DepotRenditeSpezEnde1),Param.DepotRenditeSpezProz1,IF(AND(A31&gt;=Param.DepotRenditeSpezBeginn2,A31&lt;=Param.DepotRenditeSpezEnde2),Param.DepotRenditeSpezProz2,IF(AND(A31&gt;=Param.DepotRenditeSpezBeginn3,A31&lt;=Param.DepotRenditeSpezEnde3),Param.DepotRenditeSpezProz3,IF(AND(A31&gt;=Param.DepotRenditeSpezBeginn4,A31&lt;=Param.DepotRenditeSpezEnde4),Param.DepotRenditeSpezProz4,IF(AND(A31&gt;=Param.DepotRenditeSpezBeginn5,A31&lt;=Param.DepotRenditeSpezEnde5),Param.DepotRenditeSpezProz5,Param.DepotRenditeDefault))))))^(1/12)-1</f>
        <v>0.00486755056533993979</v>
      </c>
      <c r="AP31" s="40">
        <f>BJ30</f>
        <v>242501.107200212718</v>
      </c>
      <c r="AQ31" s="40">
        <f aca="1">IF(A31&lt;Param.FireStartjahr,Param.SparrateFestgeldMonatl*12*(1+Param.SparrateDynamikJaehrl)^($A31-Param.Startjahr),0)</f>
        <v>0</v>
      </c>
      <c r="AR31" s="40">
        <f>O31</f>
        <v>0</v>
      </c>
      <c r="AS31" s="40">
        <f aca="1">IF(AND(Param.SonstigEinmaligKonto1="Festgeld",$A31=Param.SonstigEinmaligJahr1),Param.SonstigEinmaligBetrag1,0)</f>
        <v>0</v>
      </c>
      <c r="AT31" s="40">
        <f aca="1">IF(AND(Param.SonstigEinmaligKonto2="Festgeld",$A31=Param.SonstigEinmaligJahr2),Param.SonstigEinmaligBetrag2,0)</f>
        <v>0</v>
      </c>
      <c r="AU31" s="40">
        <f aca="1">IF(AND(Param.SonstigEinmaligKonto3="Festgeld",$A31=Param.SonstigEinmaligJahr3),Param.SonstigEinmaligBetrag3,0)</f>
        <v>0</v>
      </c>
      <c r="AV31" s="40">
        <f aca="1">IF(AND(Param.SonstigEinmaligKonto4="Festgeld",$A31=Param.SonstigEinmaligJahr4),Param.SonstigEinmaligBetrag4,0)</f>
        <v>0</v>
      </c>
      <c r="AW31" s="40">
        <f aca="1">IF(AND(Param.SonstigEinmaligKonto5="Festgeld",$A31=Param.SonstigEinmaligJahr5),Param.SonstigEinmaligBetrag5,0)</f>
        <v>0</v>
      </c>
      <c r="AX31" s="40">
        <f aca="1">IF(AND(Param.SonstigEinmaligKonto6="Festgeld",$A31=Param.SonstigEinmaligJahr6),Param.SonstigEinmaligBetrag6,0)</f>
        <v>0</v>
      </c>
      <c r="AY31" s="40">
        <f aca="1">IF(AND(Param.SonstigEinmaligKonto7="Festgeld",$A31=Param.SonstigEinmaligJahr7),Param.SonstigEinmaligBetrag7,0)</f>
        <v>0</v>
      </c>
      <c r="AZ31" s="40">
        <f aca="1">IF(AND(Param.SonstigEinmaligKonto8="Festgeld",$A31=Param.SonstigEinmaligJahr8),Param.SonstigEinmaligBetrag8,0)</f>
        <v>0</v>
      </c>
      <c r="BA31" s="40">
        <f aca="1">IF(AND(Param.SonstigEinmaligKonto9="Festgeld",$A31=Param.SonstigEinmaligJahr9),Param.SonstigEinmaligBetrag9,0)</f>
        <v>0</v>
      </c>
      <c r="BB31" s="40">
        <f aca="1">IF(AND(Param.SonstigEinmaligKonto10="Festgeld",$A31=Param.SonstigEinmaligJahr10),Param.SonstigEinmaligBetrag10,0)</f>
        <v>0</v>
      </c>
      <c r="BC31" s="40">
        <f aca="1">IF(AND(A31&gt;=Param.FireStartjahr,AP31&gt;0),MIN(N31*R31,AP31),0)</f>
        <v>12754.2253836560758</v>
      </c>
      <c r="BD31" s="5">
        <f aca="1">Param.FestgeldZinssatz</f>
        <v>0.02</v>
      </c>
      <c r="BE31" s="40">
        <f>(AP31+AQ31-BC31)*BD31</f>
        <v>4594.93763633114031</v>
      </c>
      <c r="BF31" s="40">
        <f aca="1">IF(BE31&gt;Param.SparerPauschbetrag,Param.SparerPauschbetrag,BE31)</f>
        <v>1000</v>
      </c>
      <c r="BG31" s="40">
        <f>BE31-BF31</f>
        <v>3594.93763633114031</v>
      </c>
      <c r="BH31" s="40">
        <f aca="1">BG31*Param.KapSt</f>
        <v>948.1648015823381</v>
      </c>
      <c r="BI31" s="40">
        <f>BE31-BH31</f>
        <v>3646.77283474880232</v>
      </c>
      <c r="BJ31" s="63">
        <f>AP31+SUM(AQ31:BB31)-BC31+BI31</f>
        <v>233393.654651305784</v>
      </c>
      <c r="BK31" s="40">
        <f>AL31+BJ31</f>
        <v>1226631.32863415196</v>
      </c>
      <c r="BL31" s="40">
        <f aca="1">BK31/(1+Param.Inflationsrate)^(A31-Param.Startjahr)</f>
        <v>645495.995501391822</v>
      </c>
      <c r="BM31" s="52" t="str">
        <f>IF(BK31&lt;N31,A31,"")</f>
        <v/>
      </c>
      <c r="BN31" s="40">
        <f>AH31+BC31</f>
        <v>74417.808043626108</v>
      </c>
      <c r="BO31" s="40">
        <f>SUM(AR31:BB31)</f>
        <v>0</v>
      </c>
      <c r="BP31" s="40">
        <f>BN31+(-1*BO31)</f>
        <v>74417.8080436260934</v>
      </c>
      <c r="BQ31" s="40">
        <f>AI31+BH31</f>
        <v>10086.6550147273374</v>
      </c>
      <c r="BR31" s="5">
        <f>IF(BK31&gt;0,BP31/BK31,0)</f>
        <v>0.060668439087146151</v>
      </c>
    </row>
    <row r="32" spans="1:70">
      <c r="A32">
        <f>A31+1</f>
        <v>2053</v>
      </c>
      <c r="B32">
        <f>B5+(28-1)</f>
        <v>57</v>
      </c>
      <c r="C32" s="10">
        <f aca="1">IF(A32&lt;Param.FireStartjahr,0,Param.EntnahmeBetragStart*(1+Param.Inflationsrate)^(A32-Param.Startjahr))</f>
        <v>58434.0005489913019</v>
      </c>
      <c r="D32" s="40">
        <f aca="1">IF(OR($A32&lt;Param.SonstigRegelmJahrBeginn1,$A32&gt;Param.SonstigRegelmJahrEnd1),0,Param.SonstigRegelmBetragJaehrl1*(1+Param.SonstigRegelmSteig1)^(A32-Param.SonstigRegelmJahrBeginn1))</f>
        <v>0</v>
      </c>
      <c r="E32" s="40">
        <f aca="1">IF(OR($A32&lt;Param.SonstigRegelmJahrBeginn2,$A32&gt;Param.SonstigRegelmJahrEnd2),0,Param.SonstigRegelmBetragJaehrl2*(1+Param.SonstigRegelmSteig2)^($A32-Param.SonstigRegelmJahrBeginn2))</f>
        <v>-8435.94754321634355</v>
      </c>
      <c r="F32" s="40">
        <f aca="1">IF(OR($A32&lt;Param.SonstigRegelmJahrBeginn3,$A32&gt;Param.SonstigRegelmJahrEnd3),0,Param.SonstigRegelmBetragJaehrl3*(1+Param.SonstigRegelmSteig3)^($A32-Param.SonstigRegelmJahrBeginn3))</f>
        <v>0</v>
      </c>
      <c r="G32" s="40">
        <f aca="1">IF(OR($A32&lt;Param.SonstigRegelmJahrBeginn4,$A32&gt;Param.SonstigRegelmJahrEnd4),0,Param.SonstigRegelmBetragJaehrl4*(1+Param.SonstigRegelmSteig4)^($A32-Param.SonstigRegelmJahrBeginn4))</f>
        <v>0</v>
      </c>
      <c r="H32" s="40">
        <f aca="1">IF(OR($A32&lt;Param.SonstigRegelmJahrBeginn5,$A32&gt;Param.SonstigRegelmJahrEnd5),0,Param.SonstigRegelmBetragJaehrl5*(1+Param.SonstigRegelmSteig5)^($A32-Param.SonstigRegelmJahrBeginn5))</f>
        <v>0</v>
      </c>
      <c r="I32" s="40">
        <f aca="1">IF(OR($A32&lt;Param.SonstigRegelmJahrBeginn6,$A32&gt;Param.SonstigRegelmJahrEnd6),0,Param.SonstigRegelmBetragJaehrl6*(1+Param.SonstigRegelmSteig6)^($A32-Param.SonstigRegelmJahrBeginn6))</f>
        <v>0</v>
      </c>
      <c r="J32" s="40">
        <f aca="1">IF(OR($A32&lt;Param.SonstigRegelmJahrBeginn7,$A32&gt;Param.SonstigRegelmJahrEnd7),0,Param.SonstigRegelmBetragJaehrl7*(1+Param.SonstigRegelmSteig7)^($A32-Param.SonstigRegelmJahrBeginn7))</f>
        <v>0</v>
      </c>
      <c r="K32" s="40">
        <f aca="1">IF(OR($A32&lt;Param.SonstigRegelmJahrBeginn8,$A32&gt;Param.SonstigRegelmJahrEnd8),0,Param.SonstigRegelmBetragJaehrl8*(1+Param.SonstigRegelmSteig8)^($A32-Param.SonstigRegelmJahrBeginn8))</f>
        <v>0</v>
      </c>
      <c r="L32" s="40">
        <f aca="1">IF(OR($A32&lt;Param.SonstigRegelmJahrBeginn9,$A32&gt;Param.SonstigRegelmJahrEnd9),0,Param.SonstigRegelmBetragJaehrl9*(1+Param.SonstigRegelmSteig9)^($A32-Param.SonstigRegelmJahrBeginn9))</f>
        <v>0</v>
      </c>
      <c r="M32" s="40">
        <f aca="1">IF(OR($A32&lt;Param.SonstigRegelmJahrBeginn10,$A32&gt;Param.SonstigRegelmJahrEnd10),0,Param.SonstigRegelmBetragJaehrl10*(1+Param.SonstigRegelmSteig10)^($A32-Param.SonstigRegelmJahrBeginn10))</f>
        <v>0</v>
      </c>
      <c r="N32" s="10">
        <f>MAX(0,C32-SUM(D32:M32))</f>
        <v>66869.9480922076473</v>
      </c>
      <c r="O32" s="10">
        <f>IF(N32&lt;=0,SUM(D32:M32)-C32,0)</f>
        <v>0</v>
      </c>
      <c r="P32" s="10">
        <f>S32+AP32</f>
        <v>1226631.32863415196</v>
      </c>
      <c r="Q32" s="11">
        <f>IF(P32&gt;0,S32/P32,0)</f>
        <v>0.809727952317028077</v>
      </c>
      <c r="R32" s="11">
        <f>IF(P32&gt;0,AP32/P32,0)</f>
        <v>0.190272047682973362</v>
      </c>
      <c r="S32" s="10">
        <f>AL31</f>
        <v>993237.673982845619</v>
      </c>
      <c r="T32" s="40">
        <f>AM31</f>
        <v>808367.620049932972</v>
      </c>
      <c r="U32" s="40">
        <f aca="1">IF(A32&lt;Param.FireStartjahr,Param.SparrateDepotMonatl*12*(1+Param.SparrateDynamikJaehrl)^($A32-Param.Startjahr),0)</f>
        <v>0</v>
      </c>
      <c r="V32" s="40">
        <f aca="1">IF(AND(Param.SonstigEinmaligKonto1="Depot",$A32=Param.SonstigEinmaligJahr1),Param.SonstigEinmaligBetrag1,0)</f>
        <v>0</v>
      </c>
      <c r="W32" s="40">
        <f aca="1">IF(AND(Param.SonstigEinmaligKonto2="Depot",$A32=Param.SonstigEinmaligJahr2),Param.SonstigEinmaligBetrag2,0)</f>
        <v>0</v>
      </c>
      <c r="X32" s="40">
        <f aca="1">IF(AND(Param.SonstigEinmaligKonto3="Depot",$A32=Param.SonstigEinmaligJahr3),Param.SonstigEinmaligBetrag3,0)</f>
        <v>0</v>
      </c>
      <c r="Y32" s="40">
        <f aca="1">IF(AND(Param.SonstigEinmaligKonto4="Depot",$A32=Param.SonstigEinmaligJahr4),Param.SonstigEinmaligBetrag4,0)</f>
        <v>0</v>
      </c>
      <c r="Z32" s="40">
        <f aca="1">IF(AND(Param.SonstigEinmaligKonto5="Depot",$A32=Param.SonstigEinmaligJahr5),Param.SonstigEinmaligBetrag5,0)</f>
        <v>0</v>
      </c>
      <c r="AA32" s="40">
        <f aca="1">IF(AND(Param.SonstigEinmaligKonto6="Depot",$A32=Param.SonstigEinmaligJahr6),Param.SonstigEinmaligBetrag6,0)</f>
        <v>0</v>
      </c>
      <c r="AB32" s="40">
        <f aca="1">IF(AND(Param.SonstigEinmaligKonto7="Depot",$A32=Param.SonstigEinmaligJahr7),Param.SonstigEinmaligBetrag7,0)</f>
        <v>0</v>
      </c>
      <c r="AC32" s="40">
        <f aca="1">IF(AND(Param.SonstigEinmaligKonto8="Depot",$A32=Param.SonstigEinmaligJahr8),Param.SonstigEinmaligBetrag8,0)</f>
        <v>0</v>
      </c>
      <c r="AD32" s="40">
        <f aca="1">IF(AND(Param.SonstigEinmaligKonto9="Depot",$A32=Param.SonstigEinmaligJahr9),Param.SonstigEinmaligBetrag9,0)</f>
        <v>0</v>
      </c>
      <c r="AE32" s="40">
        <f aca="1">IF(AND(Param.SonstigEinmaligKonto10="Depot",$A32=Param.SonstigEinmaligJahr10),Param.SonstigEinmaligBetrag10,0)</f>
        <v>0</v>
      </c>
      <c r="AF32" s="40">
        <f aca="1">Param.SparerPauschbetrag-BF32</f>
        <v>0</v>
      </c>
      <c r="AG32" s="40">
        <f aca="1">IF(AND(A32&gt;=Param.FireStartjahr,S32&gt;0),MIN(N32*Q32,S32),0)</f>
        <v>54146.4661402493002</v>
      </c>
      <c r="AH32" s="40">
        <f aca="1">IF(AG32&lt;=0,0,IF(S32&lt;=0,0,AG32/(1-MAX(0,((T32/S32)*(1-Param.Teilfreistellung)-MIN(AF32,AG32)/AG32)*Param.KapSt))))</f>
        <v>63721.2899775139667</v>
      </c>
      <c r="AI32" s="40">
        <f>AH32-AG32</f>
        <v>9574.82383726470289</v>
      </c>
      <c r="AJ32" s="40">
        <f>T32-AH32*(T32/S32)</f>
        <v>756506.692021417432</v>
      </c>
      <c r="AK32" s="40">
        <f>S32-AH32</f>
        <v>929516.384005332016</v>
      </c>
      <c r="AL32" s="40">
        <f>FV(AO32,12,-(U32/12),-AK32,0)</f>
        <v>985287.36704561545</v>
      </c>
      <c r="AM32" s="40">
        <f>AJ32+AL32-AK32-U32</f>
        <v>812277.675061697955</v>
      </c>
      <c r="AN32" s="5">
        <f>AM32/AL32</f>
        <v>0.824406870756206267</v>
      </c>
      <c r="AO32" s="5">
        <f aca="1">(1+IF(AND(A32&gt;=Param.DepotRenditeSpezBeginn1,A32&lt;=Param.DepotRenditeSpezEnde1),Param.DepotRenditeSpezProz1,IF(AND(A32&gt;=Param.DepotRenditeSpezBeginn2,A32&lt;=Param.DepotRenditeSpezEnde2),Param.DepotRenditeSpezProz2,IF(AND(A32&gt;=Param.DepotRenditeSpezBeginn3,A32&lt;=Param.DepotRenditeSpezEnde3),Param.DepotRenditeSpezProz3,IF(AND(A32&gt;=Param.DepotRenditeSpezBeginn4,A32&lt;=Param.DepotRenditeSpezEnde4),Param.DepotRenditeSpezProz4,IF(AND(A32&gt;=Param.DepotRenditeSpezBeginn5,A32&lt;=Param.DepotRenditeSpezEnde5),Param.DepotRenditeSpezProz5,Param.DepotRenditeDefault))))))^(1/12)-1</f>
        <v>0.00486755056533993979</v>
      </c>
      <c r="AP32" s="40">
        <f>BJ31</f>
        <v>233393.654651305784</v>
      </c>
      <c r="AQ32" s="40">
        <f aca="1">IF(A32&lt;Param.FireStartjahr,Param.SparrateFestgeldMonatl*12*(1+Param.SparrateDynamikJaehrl)^($A32-Param.Startjahr),0)</f>
        <v>0</v>
      </c>
      <c r="AR32" s="40">
        <f>O32</f>
        <v>0</v>
      </c>
      <c r="AS32" s="40">
        <f aca="1">IF(AND(Param.SonstigEinmaligKonto1="Festgeld",$A32=Param.SonstigEinmaligJahr1),Param.SonstigEinmaligBetrag1,0)</f>
        <v>0</v>
      </c>
      <c r="AT32" s="40">
        <f aca="1">IF(AND(Param.SonstigEinmaligKonto2="Festgeld",$A32=Param.SonstigEinmaligJahr2),Param.SonstigEinmaligBetrag2,0)</f>
        <v>0</v>
      </c>
      <c r="AU32" s="40">
        <f aca="1">IF(AND(Param.SonstigEinmaligKonto3="Festgeld",$A32=Param.SonstigEinmaligJahr3),Param.SonstigEinmaligBetrag3,0)</f>
        <v>0</v>
      </c>
      <c r="AV32" s="40">
        <f aca="1">IF(AND(Param.SonstigEinmaligKonto4="Festgeld",$A32=Param.SonstigEinmaligJahr4),Param.SonstigEinmaligBetrag4,0)</f>
        <v>0</v>
      </c>
      <c r="AW32" s="40">
        <f aca="1">IF(AND(Param.SonstigEinmaligKonto5="Festgeld",$A32=Param.SonstigEinmaligJahr5),Param.SonstigEinmaligBetrag5,0)</f>
        <v>0</v>
      </c>
      <c r="AX32" s="40">
        <f aca="1">IF(AND(Param.SonstigEinmaligKonto6="Festgeld",$A32=Param.SonstigEinmaligJahr6),Param.SonstigEinmaligBetrag6,0)</f>
        <v>0</v>
      </c>
      <c r="AY32" s="40">
        <f aca="1">IF(AND(Param.SonstigEinmaligKonto7="Festgeld",$A32=Param.SonstigEinmaligJahr7),Param.SonstigEinmaligBetrag7,0)</f>
        <v>0</v>
      </c>
      <c r="AZ32" s="40">
        <f aca="1">IF(AND(Param.SonstigEinmaligKonto8="Festgeld",$A32=Param.SonstigEinmaligJahr8),Param.SonstigEinmaligBetrag8,0)</f>
        <v>0</v>
      </c>
      <c r="BA32" s="40">
        <f aca="1">IF(AND(Param.SonstigEinmaligKonto9="Festgeld",$A32=Param.SonstigEinmaligJahr9),Param.SonstigEinmaligBetrag9,0)</f>
        <v>0</v>
      </c>
      <c r="BB32" s="40">
        <f aca="1">IF(AND(Param.SonstigEinmaligKonto10="Festgeld",$A32=Param.SonstigEinmaligJahr10),Param.SonstigEinmaligBetrag10,0)</f>
        <v>0</v>
      </c>
      <c r="BC32" s="40">
        <f aca="1">IF(AND(A32&gt;=Param.FireStartjahr,AP32&gt;0),MIN(N32*R32,AP32),0)</f>
        <v>12723.4819519584744</v>
      </c>
      <c r="BD32" s="5">
        <f aca="1">Param.FestgeldZinssatz</f>
        <v>0.02</v>
      </c>
      <c r="BE32" s="40">
        <f>(AP32+AQ32-BC32)*BD32</f>
        <v>4413.4034539869599</v>
      </c>
      <c r="BF32" s="40">
        <f aca="1">IF(BE32&gt;Param.SparerPauschbetrag,Param.SparerPauschbetrag,BE32)</f>
        <v>1000</v>
      </c>
      <c r="BG32" s="40">
        <f>BE32-BF32</f>
        <v>3413.4034539869599</v>
      </c>
      <c r="BH32" s="40">
        <f aca="1">BG32*Param.KapSt</f>
        <v>900.285160989060614</v>
      </c>
      <c r="BI32" s="40">
        <f>BE32-BH32</f>
        <v>3513.11829299789906</v>
      </c>
      <c r="BJ32" s="63">
        <f>AP32+SUM(AQ32:BB32)-BC32+BI32</f>
        <v>224183.290992345923</v>
      </c>
      <c r="BK32" s="40">
        <f>AL32+BJ32</f>
        <v>1209470.65803796193</v>
      </c>
      <c r="BL32" s="40">
        <f aca="1">BK32/(1+Param.Inflationsrate)^(A32-Param.Startjahr)</f>
        <v>620941.907113103662</v>
      </c>
      <c r="BM32" s="52" t="str">
        <f>IF(BK32&lt;N32,A32,"")</f>
        <v/>
      </c>
      <c r="BN32" s="40">
        <f>AH32+BC32</f>
        <v>76444.7719294725102</v>
      </c>
      <c r="BO32" s="40">
        <f>SUM(AR32:BB32)</f>
        <v>0</v>
      </c>
      <c r="BP32" s="40">
        <f>BN32+(-1*BO32)</f>
        <v>76444.7719294724957</v>
      </c>
      <c r="BQ32" s="40">
        <f>AI32+BH32</f>
        <v>10475.1089982537596</v>
      </c>
      <c r="BR32" s="5">
        <f>IF(BK32&gt;0,BP32/BK32,0)</f>
        <v>0.0632051479888594514</v>
      </c>
    </row>
    <row r="33" spans="1:70">
      <c r="A33">
        <f>A32+1</f>
        <v>2054</v>
      </c>
      <c r="B33">
        <f>B5+(29-1)</f>
        <v>58</v>
      </c>
      <c r="C33" s="10">
        <f aca="1">IF(A33&lt;Param.FireStartjahr,0,Param.EntnahmeBetragStart*(1+Param.Inflationsrate)^(A33-Param.Startjahr))</f>
        <v>59894.8505627159975</v>
      </c>
      <c r="D33" s="40">
        <f aca="1">IF(OR($A33&lt;Param.SonstigRegelmJahrBeginn1,$A33&gt;Param.SonstigRegelmJahrEnd1),0,Param.SonstigRegelmBetragJaehrl1*(1+Param.SonstigRegelmSteig1)^(A33-Param.SonstigRegelmJahrBeginn1))</f>
        <v>0</v>
      </c>
      <c r="E33" s="40">
        <f aca="1">IF(OR($A33&lt;Param.SonstigRegelmJahrBeginn2,$A33&gt;Param.SonstigRegelmJahrEnd2),0,Param.SonstigRegelmBetragJaehrl2*(1+Param.SonstigRegelmSteig2)^($A33-Param.SonstigRegelmJahrBeginn2))</f>
        <v>-8604.66649408063131</v>
      </c>
      <c r="F33" s="40">
        <f aca="1">IF(OR($A33&lt;Param.SonstigRegelmJahrBeginn3,$A33&gt;Param.SonstigRegelmJahrEnd3),0,Param.SonstigRegelmBetragJaehrl3*(1+Param.SonstigRegelmSteig3)^($A33-Param.SonstigRegelmJahrBeginn3))</f>
        <v>0</v>
      </c>
      <c r="G33" s="40">
        <f aca="1">IF(OR($A33&lt;Param.SonstigRegelmJahrBeginn4,$A33&gt;Param.SonstigRegelmJahrEnd4),0,Param.SonstigRegelmBetragJaehrl4*(1+Param.SonstigRegelmSteig4)^($A33-Param.SonstigRegelmJahrBeginn4))</f>
        <v>0</v>
      </c>
      <c r="H33" s="40">
        <f aca="1">IF(OR($A33&lt;Param.SonstigRegelmJahrBeginn5,$A33&gt;Param.SonstigRegelmJahrEnd5),0,Param.SonstigRegelmBetragJaehrl5*(1+Param.SonstigRegelmSteig5)^($A33-Param.SonstigRegelmJahrBeginn5))</f>
        <v>0</v>
      </c>
      <c r="I33" s="40">
        <f aca="1">IF(OR($A33&lt;Param.SonstigRegelmJahrBeginn6,$A33&gt;Param.SonstigRegelmJahrEnd6),0,Param.SonstigRegelmBetragJaehrl6*(1+Param.SonstigRegelmSteig6)^($A33-Param.SonstigRegelmJahrBeginn6))</f>
        <v>0</v>
      </c>
      <c r="J33" s="40">
        <f aca="1">IF(OR($A33&lt;Param.SonstigRegelmJahrBeginn7,$A33&gt;Param.SonstigRegelmJahrEnd7),0,Param.SonstigRegelmBetragJaehrl7*(1+Param.SonstigRegelmSteig7)^($A33-Param.SonstigRegelmJahrBeginn7))</f>
        <v>0</v>
      </c>
      <c r="K33" s="40">
        <f aca="1">IF(OR($A33&lt;Param.SonstigRegelmJahrBeginn8,$A33&gt;Param.SonstigRegelmJahrEnd8),0,Param.SonstigRegelmBetragJaehrl8*(1+Param.SonstigRegelmSteig8)^($A33-Param.SonstigRegelmJahrBeginn8))</f>
        <v>0</v>
      </c>
      <c r="L33" s="40">
        <f aca="1">IF(OR($A33&lt;Param.SonstigRegelmJahrBeginn9,$A33&gt;Param.SonstigRegelmJahrEnd9),0,Param.SonstigRegelmBetragJaehrl9*(1+Param.SonstigRegelmSteig9)^($A33-Param.SonstigRegelmJahrBeginn9))</f>
        <v>0</v>
      </c>
      <c r="M33" s="40">
        <f aca="1">IF(OR($A33&lt;Param.SonstigRegelmJahrBeginn10,$A33&gt;Param.SonstigRegelmJahrEnd10),0,Param.SonstigRegelmBetragJaehrl10*(1+Param.SonstigRegelmSteig10)^($A33-Param.SonstigRegelmJahrBeginn10))</f>
        <v>0</v>
      </c>
      <c r="N33" s="10">
        <f>MAX(0,C33-SUM(D33:M33))</f>
        <v>68499.517056796627</v>
      </c>
      <c r="O33" s="10">
        <f>IF(N33&lt;=0,SUM(D33:M33)-C33,0)</f>
        <v>0</v>
      </c>
      <c r="P33" s="10">
        <f>S33+AP33</f>
        <v>1209470.65803796193</v>
      </c>
      <c r="Q33" s="11">
        <f>IF(P33&gt;0,S33/P33,0)</f>
        <v>0.814643464475590484</v>
      </c>
      <c r="R33" s="11">
        <f>IF(P33&gt;0,AP33/P33,0)</f>
        <v>0.185356535524411097</v>
      </c>
      <c r="S33" s="10">
        <f>AL32</f>
        <v>985287.36704561545</v>
      </c>
      <c r="T33" s="40">
        <f>AM32</f>
        <v>812277.675061697955</v>
      </c>
      <c r="U33" s="40">
        <f aca="1">IF(A33&lt;Param.FireStartjahr,Param.SparrateDepotMonatl*12*(1+Param.SparrateDynamikJaehrl)^($A33-Param.Startjahr),0)</f>
        <v>0</v>
      </c>
      <c r="V33" s="40">
        <f aca="1">IF(AND(Param.SonstigEinmaligKonto1="Depot",$A33=Param.SonstigEinmaligJahr1),Param.SonstigEinmaligBetrag1,0)</f>
        <v>0</v>
      </c>
      <c r="W33" s="40">
        <f aca="1">IF(AND(Param.SonstigEinmaligKonto2="Depot",$A33=Param.SonstigEinmaligJahr2),Param.SonstigEinmaligBetrag2,0)</f>
        <v>0</v>
      </c>
      <c r="X33" s="40">
        <f aca="1">IF(AND(Param.SonstigEinmaligKonto3="Depot",$A33=Param.SonstigEinmaligJahr3),Param.SonstigEinmaligBetrag3,0)</f>
        <v>0</v>
      </c>
      <c r="Y33" s="40">
        <f aca="1">IF(AND(Param.SonstigEinmaligKonto4="Depot",$A33=Param.SonstigEinmaligJahr4),Param.SonstigEinmaligBetrag4,0)</f>
        <v>0</v>
      </c>
      <c r="Z33" s="40">
        <f aca="1">IF(AND(Param.SonstigEinmaligKonto5="Depot",$A33=Param.SonstigEinmaligJahr5),Param.SonstigEinmaligBetrag5,0)</f>
        <v>0</v>
      </c>
      <c r="AA33" s="40">
        <f aca="1">IF(AND(Param.SonstigEinmaligKonto6="Depot",$A33=Param.SonstigEinmaligJahr6),Param.SonstigEinmaligBetrag6,0)</f>
        <v>0</v>
      </c>
      <c r="AB33" s="40">
        <f aca="1">IF(AND(Param.SonstigEinmaligKonto7="Depot",$A33=Param.SonstigEinmaligJahr7),Param.SonstigEinmaligBetrag7,0)</f>
        <v>0</v>
      </c>
      <c r="AC33" s="40">
        <f aca="1">IF(AND(Param.SonstigEinmaligKonto8="Depot",$A33=Param.SonstigEinmaligJahr8),Param.SonstigEinmaligBetrag8,0)</f>
        <v>0</v>
      </c>
      <c r="AD33" s="40">
        <f aca="1">IF(AND(Param.SonstigEinmaligKonto9="Depot",$A33=Param.SonstigEinmaligJahr9),Param.SonstigEinmaligBetrag9,0)</f>
        <v>0</v>
      </c>
      <c r="AE33" s="40">
        <f aca="1">IF(AND(Param.SonstigEinmaligKonto10="Depot",$A33=Param.SonstigEinmaligJahr10),Param.SonstigEinmaligBetrag10,0)</f>
        <v>0</v>
      </c>
      <c r="AF33" s="40">
        <f aca="1">Param.SparerPauschbetrag-BF33</f>
        <v>0</v>
      </c>
      <c r="AG33" s="40">
        <f aca="1">IF(AND(A33&gt;=Param.FireStartjahr,S33&gt;0),MIN(N33*Q33,S33),0)</f>
        <v>55802.6838900536168</v>
      </c>
      <c r="AH33" s="40">
        <f aca="1">IF(AG33&lt;=0,0,IF(S33&lt;=0,0,AG33/(1-MAX(0,((T33/S33)*(1-Param.Teilfreistellung)-MIN(AF33,AG33)/AG33)*Param.KapSt))))</f>
        <v>65821.0505036928516</v>
      </c>
      <c r="AI33" s="40">
        <f>AH33-AG33</f>
        <v>10018.3666136392931</v>
      </c>
      <c r="AJ33" s="40">
        <f>T33-AH33*(T33/S33)</f>
        <v>758014.348786062212</v>
      </c>
      <c r="AK33" s="40">
        <f>S33-AH33</f>
        <v>919466.316541923094</v>
      </c>
      <c r="AL33" s="40">
        <f>FV(AO33,12,-(U33/12),-AK33,0)</f>
        <v>974634.295534402365</v>
      </c>
      <c r="AM33" s="40">
        <f>AJ33+AL33-AK33-U33</f>
        <v>813182.327778536943</v>
      </c>
      <c r="AN33" s="5">
        <f>AM33/AL33</f>
        <v>0.834346104486976614</v>
      </c>
      <c r="AO33" s="5">
        <f aca="1">(1+IF(AND(A33&gt;=Param.DepotRenditeSpezBeginn1,A33&lt;=Param.DepotRenditeSpezEnde1),Param.DepotRenditeSpezProz1,IF(AND(A33&gt;=Param.DepotRenditeSpezBeginn2,A33&lt;=Param.DepotRenditeSpezEnde2),Param.DepotRenditeSpezProz2,IF(AND(A33&gt;=Param.DepotRenditeSpezBeginn3,A33&lt;=Param.DepotRenditeSpezEnde3),Param.DepotRenditeSpezProz3,IF(AND(A33&gt;=Param.DepotRenditeSpezBeginn4,A33&lt;=Param.DepotRenditeSpezEnde4),Param.DepotRenditeSpezProz4,IF(AND(A33&gt;=Param.DepotRenditeSpezBeginn5,A33&lt;=Param.DepotRenditeSpezEnde5),Param.DepotRenditeSpezProz5,Param.DepotRenditeDefault))))))^(1/12)-1</f>
        <v>0.00486755056533993979</v>
      </c>
      <c r="AP33" s="40">
        <f>BJ32</f>
        <v>224183.290992345923</v>
      </c>
      <c r="AQ33" s="40">
        <f aca="1">IF(A33&lt;Param.FireStartjahr,Param.SparrateFestgeldMonatl*12*(1+Param.SparrateDynamikJaehrl)^($A33-Param.Startjahr),0)</f>
        <v>0</v>
      </c>
      <c r="AR33" s="40">
        <f>O33</f>
        <v>0</v>
      </c>
      <c r="AS33" s="40">
        <f aca="1">IF(AND(Param.SonstigEinmaligKonto1="Festgeld",$A33=Param.SonstigEinmaligJahr1),Param.SonstigEinmaligBetrag1,0)</f>
        <v>0</v>
      </c>
      <c r="AT33" s="40">
        <f aca="1">IF(AND(Param.SonstigEinmaligKonto2="Festgeld",$A33=Param.SonstigEinmaligJahr2),Param.SonstigEinmaligBetrag2,0)</f>
        <v>0</v>
      </c>
      <c r="AU33" s="40">
        <f aca="1">IF(AND(Param.SonstigEinmaligKonto3="Festgeld",$A33=Param.SonstigEinmaligJahr3),Param.SonstigEinmaligBetrag3,0)</f>
        <v>0</v>
      </c>
      <c r="AV33" s="40">
        <f aca="1">IF(AND(Param.SonstigEinmaligKonto4="Festgeld",$A33=Param.SonstigEinmaligJahr4),Param.SonstigEinmaligBetrag4,0)</f>
        <v>0</v>
      </c>
      <c r="AW33" s="40">
        <f aca="1">IF(AND(Param.SonstigEinmaligKonto5="Festgeld",$A33=Param.SonstigEinmaligJahr5),Param.SonstigEinmaligBetrag5,0)</f>
        <v>0</v>
      </c>
      <c r="AX33" s="40">
        <f aca="1">IF(AND(Param.SonstigEinmaligKonto6="Festgeld",$A33=Param.SonstigEinmaligJahr6),Param.SonstigEinmaligBetrag6,0)</f>
        <v>0</v>
      </c>
      <c r="AY33" s="40">
        <f aca="1">IF(AND(Param.SonstigEinmaligKonto7="Festgeld",$A33=Param.SonstigEinmaligJahr7),Param.SonstigEinmaligBetrag7,0)</f>
        <v>0</v>
      </c>
      <c r="AZ33" s="40">
        <f aca="1">IF(AND(Param.SonstigEinmaligKonto8="Festgeld",$A33=Param.SonstigEinmaligJahr8),Param.SonstigEinmaligBetrag8,0)</f>
        <v>0</v>
      </c>
      <c r="BA33" s="40">
        <f aca="1">IF(AND(Param.SonstigEinmaligKonto9="Festgeld",$A33=Param.SonstigEinmaligJahr9),Param.SonstigEinmaligBetrag9,0)</f>
        <v>0</v>
      </c>
      <c r="BB33" s="40">
        <f aca="1">IF(AND(Param.SonstigEinmaligKonto10="Festgeld",$A33=Param.SonstigEinmaligJahr10),Param.SonstigEinmaligBetrag10,0)</f>
        <v>0</v>
      </c>
      <c r="BC33" s="40">
        <f aca="1">IF(AND(A33&gt;=Param.FireStartjahr,AP33&gt;0),MIN(N33*R33,AP33),0)</f>
        <v>12696.8331667431157</v>
      </c>
      <c r="BD33" s="5">
        <f aca="1">Param.FestgeldZinssatz</f>
        <v>0.02</v>
      </c>
      <c r="BE33" s="40">
        <f>(AP33+AQ33-BC33)*BD33</f>
        <v>4229.72915651205949</v>
      </c>
      <c r="BF33" s="40">
        <f aca="1">IF(BE33&gt;Param.SparerPauschbetrag,Param.SparerPauschbetrag,BE33)</f>
        <v>1000</v>
      </c>
      <c r="BG33" s="40">
        <f>BE33-BF33</f>
        <v>3229.7291565120604</v>
      </c>
      <c r="BH33" s="40">
        <f aca="1">BG33*Param.KapSt</f>
        <v>851.841065030055802</v>
      </c>
      <c r="BI33" s="40">
        <f>BE33-BH33</f>
        <v>3377.88809148200426</v>
      </c>
      <c r="BJ33" s="63">
        <f>AP33+SUM(AQ33:BB33)-BC33+BI33</f>
        <v>214864.345917084982</v>
      </c>
      <c r="BK33" s="40">
        <f>AL33+BJ33</f>
        <v>1189498.64145148708</v>
      </c>
      <c r="BL33" s="40">
        <f aca="1">BK33/(1+Param.Inflationsrate)^(A33-Param.Startjahr)</f>
        <v>595793.44314715208</v>
      </c>
      <c r="BM33" s="52" t="str">
        <f>IF(BK33&lt;N33,A33,"")</f>
        <v/>
      </c>
      <c r="BN33" s="40">
        <f>AH33+BC33</f>
        <v>78517.8836704360001</v>
      </c>
      <c r="BO33" s="40">
        <f>SUM(AR33:BB33)</f>
        <v>0</v>
      </c>
      <c r="BP33" s="40">
        <f>BN33+(-1*BO33)</f>
        <v>78517.8836704360001</v>
      </c>
      <c r="BQ33" s="40">
        <f>AI33+BH33</f>
        <v>10870.207678669356</v>
      </c>
      <c r="BR33" s="5">
        <f>IF(BK33&gt;0,BP33/BK33,0)</f>
        <v>0.0660092251762677495</v>
      </c>
    </row>
    <row r="34" spans="1:70">
      <c r="A34">
        <f>A33+1</f>
        <v>2055</v>
      </c>
      <c r="B34">
        <f>B5+(30-1)</f>
        <v>59</v>
      </c>
      <c r="C34" s="10">
        <f aca="1">IF(A34&lt;Param.FireStartjahr,0,Param.EntnahmeBetragStart*(1+Param.Inflationsrate)^(A34-Param.Startjahr))</f>
        <v>61392.221826783898</v>
      </c>
      <c r="D34" s="40">
        <f aca="1">IF(OR($A34&lt;Param.SonstigRegelmJahrBeginn1,$A34&gt;Param.SonstigRegelmJahrEnd1),0,Param.SonstigRegelmBetragJaehrl1*(1+Param.SonstigRegelmSteig1)^(A34-Param.SonstigRegelmJahrBeginn1))</f>
        <v>0</v>
      </c>
      <c r="E34" s="40">
        <f aca="1">IF(OR($A34&lt;Param.SonstigRegelmJahrBeginn2,$A34&gt;Param.SonstigRegelmJahrEnd2),0,Param.SonstigRegelmBetragJaehrl2*(1+Param.SonstigRegelmSteig2)^($A34-Param.SonstigRegelmJahrBeginn2))</f>
        <v>-8776.75982396227118</v>
      </c>
      <c r="F34" s="40">
        <f aca="1">IF(OR($A34&lt;Param.SonstigRegelmJahrBeginn3,$A34&gt;Param.SonstigRegelmJahrEnd3),0,Param.SonstigRegelmBetragJaehrl3*(1+Param.SonstigRegelmSteig3)^($A34-Param.SonstigRegelmJahrBeginn3))</f>
        <v>0</v>
      </c>
      <c r="G34" s="40">
        <f aca="1">IF(OR($A34&lt;Param.SonstigRegelmJahrBeginn4,$A34&gt;Param.SonstigRegelmJahrEnd4),0,Param.SonstigRegelmBetragJaehrl4*(1+Param.SonstigRegelmSteig4)^($A34-Param.SonstigRegelmJahrBeginn4))</f>
        <v>0</v>
      </c>
      <c r="H34" s="40">
        <f aca="1">IF(OR($A34&lt;Param.SonstigRegelmJahrBeginn5,$A34&gt;Param.SonstigRegelmJahrEnd5),0,Param.SonstigRegelmBetragJaehrl5*(1+Param.SonstigRegelmSteig5)^($A34-Param.SonstigRegelmJahrBeginn5))</f>
        <v>0</v>
      </c>
      <c r="I34" s="40">
        <f aca="1">IF(OR($A34&lt;Param.SonstigRegelmJahrBeginn6,$A34&gt;Param.SonstigRegelmJahrEnd6),0,Param.SonstigRegelmBetragJaehrl6*(1+Param.SonstigRegelmSteig6)^($A34-Param.SonstigRegelmJahrBeginn6))</f>
        <v>0</v>
      </c>
      <c r="J34" s="40">
        <f aca="1">IF(OR($A34&lt;Param.SonstigRegelmJahrBeginn7,$A34&gt;Param.SonstigRegelmJahrEnd7),0,Param.SonstigRegelmBetragJaehrl7*(1+Param.SonstigRegelmSteig7)^($A34-Param.SonstigRegelmJahrBeginn7))</f>
        <v>0</v>
      </c>
      <c r="K34" s="40">
        <f aca="1">IF(OR($A34&lt;Param.SonstigRegelmJahrBeginn8,$A34&gt;Param.SonstigRegelmJahrEnd8),0,Param.SonstigRegelmBetragJaehrl8*(1+Param.SonstigRegelmSteig8)^($A34-Param.SonstigRegelmJahrBeginn8))</f>
        <v>0</v>
      </c>
      <c r="L34" s="40">
        <f aca="1">IF(OR($A34&lt;Param.SonstigRegelmJahrBeginn9,$A34&gt;Param.SonstigRegelmJahrEnd9),0,Param.SonstigRegelmBetragJaehrl9*(1+Param.SonstigRegelmSteig9)^($A34-Param.SonstigRegelmJahrBeginn9))</f>
        <v>0</v>
      </c>
      <c r="M34" s="40">
        <f aca="1">IF(OR($A34&lt;Param.SonstigRegelmJahrBeginn10,$A34&gt;Param.SonstigRegelmJahrEnd10),0,Param.SonstigRegelmBetragJaehrl10*(1+Param.SonstigRegelmSteig10)^($A34-Param.SonstigRegelmJahrBeginn10))</f>
        <v>0</v>
      </c>
      <c r="N34" s="10">
        <f>MAX(0,C34-SUM(D34:M34))</f>
        <v>70168.9816507461655</v>
      </c>
      <c r="O34" s="10">
        <f>IF(N34&lt;=0,SUM(D34:M34)-C34,0)</f>
        <v>0</v>
      </c>
      <c r="P34" s="10">
        <f>S34+AP34</f>
        <v>1189498.64145148708</v>
      </c>
      <c r="Q34" s="11">
        <f>IF(P34&gt;0,S34/P34,0)</f>
        <v>0.819365623104117979</v>
      </c>
      <c r="R34" s="11">
        <f>IF(P34&gt;0,AP34/P34,0)</f>
        <v>0.180634376895879445</v>
      </c>
      <c r="S34" s="10">
        <f>AL33</f>
        <v>974634.295534402365</v>
      </c>
      <c r="T34" s="40">
        <f>AM33</f>
        <v>813182.327778536943</v>
      </c>
      <c r="U34" s="40">
        <f aca="1">IF(A34&lt;Param.FireStartjahr,Param.SparrateDepotMonatl*12*(1+Param.SparrateDynamikJaehrl)^($A34-Param.Startjahr),0)</f>
        <v>0</v>
      </c>
      <c r="V34" s="40">
        <f aca="1">IF(AND(Param.SonstigEinmaligKonto1="Depot",$A34=Param.SonstigEinmaligJahr1),Param.SonstigEinmaligBetrag1,0)</f>
        <v>0</v>
      </c>
      <c r="W34" s="40">
        <f aca="1">IF(AND(Param.SonstigEinmaligKonto2="Depot",$A34=Param.SonstigEinmaligJahr2),Param.SonstigEinmaligBetrag2,0)</f>
        <v>0</v>
      </c>
      <c r="X34" s="40">
        <f aca="1">IF(AND(Param.SonstigEinmaligKonto3="Depot",$A34=Param.SonstigEinmaligJahr3),Param.SonstigEinmaligBetrag3,0)</f>
        <v>0</v>
      </c>
      <c r="Y34" s="40">
        <f aca="1">IF(AND(Param.SonstigEinmaligKonto4="Depot",$A34=Param.SonstigEinmaligJahr4),Param.SonstigEinmaligBetrag4,0)</f>
        <v>0</v>
      </c>
      <c r="Z34" s="40">
        <f aca="1">IF(AND(Param.SonstigEinmaligKonto5="Depot",$A34=Param.SonstigEinmaligJahr5),Param.SonstigEinmaligBetrag5,0)</f>
        <v>0</v>
      </c>
      <c r="AA34" s="40">
        <f aca="1">IF(AND(Param.SonstigEinmaligKonto6="Depot",$A34=Param.SonstigEinmaligJahr6),Param.SonstigEinmaligBetrag6,0)</f>
        <v>0</v>
      </c>
      <c r="AB34" s="40">
        <f aca="1">IF(AND(Param.SonstigEinmaligKonto7="Depot",$A34=Param.SonstigEinmaligJahr7),Param.SonstigEinmaligBetrag7,0)</f>
        <v>0</v>
      </c>
      <c r="AC34" s="40">
        <f aca="1">IF(AND(Param.SonstigEinmaligKonto8="Depot",$A34=Param.SonstigEinmaligJahr8),Param.SonstigEinmaligBetrag8,0)</f>
        <v>0</v>
      </c>
      <c r="AD34" s="40">
        <f aca="1">IF(AND(Param.SonstigEinmaligKonto9="Depot",$A34=Param.SonstigEinmaligJahr9),Param.SonstigEinmaligBetrag9,0)</f>
        <v>0</v>
      </c>
      <c r="AE34" s="40">
        <f aca="1">IF(AND(Param.SonstigEinmaligKonto10="Depot",$A34=Param.SonstigEinmaligJahr10),Param.SonstigEinmaligBetrag10,0)</f>
        <v>0</v>
      </c>
      <c r="AF34" s="40">
        <f aca="1">Param.SparerPauschbetrag-BF34</f>
        <v>0</v>
      </c>
      <c r="AG34" s="40">
        <f aca="1">IF(AND(A34&gt;=Param.FireStartjahr,S34&gt;0),MIN(N34*Q34,S34),0)</f>
        <v>57494.0513728450751</v>
      </c>
      <c r="AH34" s="40">
        <f aca="1">IF(AG34&lt;=0,0,IF(S34&lt;=0,0,AG34/(1-MAX(0,((T34/S34)*(1-Param.Teilfreistellung)-MIN(AF34,AG34)/AG34)*Param.KapSt))))</f>
        <v>67963.1773361597297</v>
      </c>
      <c r="AI34" s="40">
        <f>AH34-AG34</f>
        <v>10469.1259633146037</v>
      </c>
      <c r="AJ34" s="40">
        <f>T34-AH34*(T34/S34)</f>
        <v>756477.515519554494</v>
      </c>
      <c r="AK34" s="40">
        <f>S34-AH34</f>
        <v>906671.118198242271</v>
      </c>
      <c r="AL34" s="40">
        <f>FV(AO34,12,-(U34/12),-AK34,0)</f>
        <v>961071.385290101171</v>
      </c>
      <c r="AM34" s="40">
        <f>AJ34+AL34-AK34-U34</f>
        <v>810877.78261141805</v>
      </c>
      <c r="AN34" s="5">
        <f>AM34/AL34</f>
        <v>0.843722740082052525</v>
      </c>
      <c r="AO34" s="5">
        <f aca="1">(1+IF(AND(A34&gt;=Param.DepotRenditeSpezBeginn1,A34&lt;=Param.DepotRenditeSpezEnde1),Param.DepotRenditeSpezProz1,IF(AND(A34&gt;=Param.DepotRenditeSpezBeginn2,A34&lt;=Param.DepotRenditeSpezEnde2),Param.DepotRenditeSpezProz2,IF(AND(A34&gt;=Param.DepotRenditeSpezBeginn3,A34&lt;=Param.DepotRenditeSpezEnde3),Param.DepotRenditeSpezProz3,IF(AND(A34&gt;=Param.DepotRenditeSpezBeginn4,A34&lt;=Param.DepotRenditeSpezEnde4),Param.DepotRenditeSpezProz4,IF(AND(A34&gt;=Param.DepotRenditeSpezBeginn5,A34&lt;=Param.DepotRenditeSpezEnde5),Param.DepotRenditeSpezProz5,Param.DepotRenditeDefault))))))^(1/12)-1</f>
        <v>0.00486755056533993979</v>
      </c>
      <c r="AP34" s="40">
        <f>BJ33</f>
        <v>214864.345917084982</v>
      </c>
      <c r="AQ34" s="40">
        <f aca="1">IF(A34&lt;Param.FireStartjahr,Param.SparrateFestgeldMonatl*12*(1+Param.SparrateDynamikJaehrl)^($A34-Param.Startjahr),0)</f>
        <v>0</v>
      </c>
      <c r="AR34" s="40">
        <f>O34</f>
        <v>0</v>
      </c>
      <c r="AS34" s="40">
        <f aca="1">IF(AND(Param.SonstigEinmaligKonto1="Festgeld",$A34=Param.SonstigEinmaligJahr1),Param.SonstigEinmaligBetrag1,0)</f>
        <v>0</v>
      </c>
      <c r="AT34" s="40">
        <f aca="1">IF(AND(Param.SonstigEinmaligKonto2="Festgeld",$A34=Param.SonstigEinmaligJahr2),Param.SonstigEinmaligBetrag2,0)</f>
        <v>0</v>
      </c>
      <c r="AU34" s="40">
        <f aca="1">IF(AND(Param.SonstigEinmaligKonto3="Festgeld",$A34=Param.SonstigEinmaligJahr3),Param.SonstigEinmaligBetrag3,0)</f>
        <v>0</v>
      </c>
      <c r="AV34" s="40">
        <f aca="1">IF(AND(Param.SonstigEinmaligKonto4="Festgeld",$A34=Param.SonstigEinmaligJahr4),Param.SonstigEinmaligBetrag4,0)</f>
        <v>0</v>
      </c>
      <c r="AW34" s="40">
        <f aca="1">IF(AND(Param.SonstigEinmaligKonto5="Festgeld",$A34=Param.SonstigEinmaligJahr5),Param.SonstigEinmaligBetrag5,0)</f>
        <v>0</v>
      </c>
      <c r="AX34" s="40">
        <f aca="1">IF(AND(Param.SonstigEinmaligKonto6="Festgeld",$A34=Param.SonstigEinmaligJahr6),Param.SonstigEinmaligBetrag6,0)</f>
        <v>0</v>
      </c>
      <c r="AY34" s="40">
        <f aca="1">IF(AND(Param.SonstigEinmaligKonto7="Festgeld",$A34=Param.SonstigEinmaligJahr7),Param.SonstigEinmaligBetrag7,0)</f>
        <v>0</v>
      </c>
      <c r="AZ34" s="40">
        <f aca="1">IF(AND(Param.SonstigEinmaligKonto8="Festgeld",$A34=Param.SonstigEinmaligJahr8),Param.SonstigEinmaligBetrag8,0)</f>
        <v>0</v>
      </c>
      <c r="BA34" s="40">
        <f aca="1">IF(AND(Param.SonstigEinmaligKonto9="Festgeld",$A34=Param.SonstigEinmaligJahr9),Param.SonstigEinmaligBetrag9,0)</f>
        <v>0</v>
      </c>
      <c r="BB34" s="40">
        <f aca="1">IF(AND(Param.SonstigEinmaligKonto10="Festgeld",$A34=Param.SonstigEinmaligJahr10),Param.SonstigEinmaligBetrag10,0)</f>
        <v>0</v>
      </c>
      <c r="BC34" s="40">
        <f aca="1">IF(AND(A34&gt;=Param.FireStartjahr,AP34&gt;0),MIN(N34*R34,AP34),0)</f>
        <v>12674.9302779009049</v>
      </c>
      <c r="BD34" s="5">
        <f aca="1">Param.FestgeldZinssatz</f>
        <v>0.02</v>
      </c>
      <c r="BE34" s="40">
        <f>(AP34+AQ34-BC34)*BD34</f>
        <v>4043.78831278368034</v>
      </c>
      <c r="BF34" s="40">
        <f aca="1">IF(BE34&gt;Param.SparerPauschbetrag,Param.SparerPauschbetrag,BE34)</f>
        <v>1000</v>
      </c>
      <c r="BG34" s="40">
        <f>BE34-BF34</f>
        <v>3043.78831278367988</v>
      </c>
      <c r="BH34" s="40">
        <f aca="1">BG34*Param.KapSt</f>
        <v>802.799167496695532</v>
      </c>
      <c r="BI34" s="40">
        <f>BE34-BH34</f>
        <v>3240.98914528698378</v>
      </c>
      <c r="BJ34" s="63">
        <f>AP34+SUM(AQ34:BB34)-BC34+BI34</f>
        <v>205430.404784471</v>
      </c>
      <c r="BK34" s="40">
        <f>AL34+BJ34</f>
        <v>1166501.79007457197</v>
      </c>
      <c r="BL34" s="40">
        <f aca="1">BK34/(1+Param.Inflationsrate)^(A34-Param.Startjahr)</f>
        <v>570024.225560275023</v>
      </c>
      <c r="BM34" s="52" t="str">
        <f>IF(BK34&lt;N34,A34,"")</f>
        <v/>
      </c>
      <c r="BN34" s="40">
        <f>AH34+BC34</f>
        <v>80638.1076140606019</v>
      </c>
      <c r="BO34" s="40">
        <f>SUM(AR34:BB34)</f>
        <v>0</v>
      </c>
      <c r="BP34" s="40">
        <f>BN34+(-1*BO34)</f>
        <v>80638.1076140606019</v>
      </c>
      <c r="BQ34" s="40">
        <f>AI34+BH34</f>
        <v>11271.9251308112962</v>
      </c>
      <c r="BR34" s="5">
        <f>IF(BK34&gt;0,BP34/BK34,0)</f>
        <v>0.0691281473377813782</v>
      </c>
    </row>
    <row r="35" spans="1:70">
      <c r="A35">
        <f>A34+1</f>
        <v>2056</v>
      </c>
      <c r="B35">
        <f>B5+(31-1)</f>
        <v>60</v>
      </c>
      <c r="C35" s="10">
        <f aca="1">IF(A35&lt;Param.FireStartjahr,0,Param.EntnahmeBetragStart*(1+Param.Inflationsrate)^(A35-Param.Startjahr))</f>
        <v>62927.0273724536964</v>
      </c>
      <c r="D35" s="40">
        <f aca="1">IF(OR($A35&lt;Param.SonstigRegelmJahrBeginn1,$A35&gt;Param.SonstigRegelmJahrEnd1),0,Param.SonstigRegelmBetragJaehrl1*(1+Param.SonstigRegelmSteig1)^(A35-Param.SonstigRegelmJahrBeginn1))</f>
        <v>0</v>
      </c>
      <c r="E35" s="40">
        <f aca="1">IF(OR($A35&lt;Param.SonstigRegelmJahrBeginn2,$A35&gt;Param.SonstigRegelmJahrEnd2),0,Param.SonstigRegelmBetragJaehrl2*(1+Param.SonstigRegelmSteig2)^($A35-Param.SonstigRegelmJahrBeginn2))</f>
        <v>-8952.29502044148103</v>
      </c>
      <c r="F35" s="40">
        <f aca="1">IF(OR($A35&lt;Param.SonstigRegelmJahrBeginn3,$A35&gt;Param.SonstigRegelmJahrEnd3),0,Param.SonstigRegelmBetragJaehrl3*(1+Param.SonstigRegelmSteig3)^($A35-Param.SonstigRegelmJahrBeginn3))</f>
        <v>0</v>
      </c>
      <c r="G35" s="40">
        <f aca="1">IF(OR($A35&lt;Param.SonstigRegelmJahrBeginn4,$A35&gt;Param.SonstigRegelmJahrEnd4),0,Param.SonstigRegelmBetragJaehrl4*(1+Param.SonstigRegelmSteig4)^($A35-Param.SonstigRegelmJahrBeginn4))</f>
        <v>0</v>
      </c>
      <c r="H35" s="40">
        <f aca="1">IF(OR($A35&lt;Param.SonstigRegelmJahrBeginn5,$A35&gt;Param.SonstigRegelmJahrEnd5),0,Param.SonstigRegelmBetragJaehrl5*(1+Param.SonstigRegelmSteig5)^($A35-Param.SonstigRegelmJahrBeginn5))</f>
        <v>0</v>
      </c>
      <c r="I35" s="40">
        <f aca="1">IF(OR($A35&lt;Param.SonstigRegelmJahrBeginn6,$A35&gt;Param.SonstigRegelmJahrEnd6),0,Param.SonstigRegelmBetragJaehrl6*(1+Param.SonstigRegelmSteig6)^($A35-Param.SonstigRegelmJahrBeginn6))</f>
        <v>0</v>
      </c>
      <c r="J35" s="40">
        <f aca="1">IF(OR($A35&lt;Param.SonstigRegelmJahrBeginn7,$A35&gt;Param.SonstigRegelmJahrEnd7),0,Param.SonstigRegelmBetragJaehrl7*(1+Param.SonstigRegelmSteig7)^($A35-Param.SonstigRegelmJahrBeginn7))</f>
        <v>0</v>
      </c>
      <c r="K35" s="40">
        <f aca="1">IF(OR($A35&lt;Param.SonstigRegelmJahrBeginn8,$A35&gt;Param.SonstigRegelmJahrEnd8),0,Param.SonstigRegelmBetragJaehrl8*(1+Param.SonstigRegelmSteig8)^($A35-Param.SonstigRegelmJahrBeginn8))</f>
        <v>0</v>
      </c>
      <c r="L35" s="40">
        <f aca="1">IF(OR($A35&lt;Param.SonstigRegelmJahrBeginn9,$A35&gt;Param.SonstigRegelmJahrEnd9),0,Param.SonstigRegelmBetragJaehrl9*(1+Param.SonstigRegelmSteig9)^($A35-Param.SonstigRegelmJahrBeginn9))</f>
        <v>0</v>
      </c>
      <c r="M35" s="40">
        <f aca="1">IF(OR($A35&lt;Param.SonstigRegelmJahrBeginn10,$A35&gt;Param.SonstigRegelmJahrEnd10),0,Param.SonstigRegelmBetragJaehrl10*(1+Param.SonstigRegelmSteig10)^($A35-Param.SonstigRegelmJahrBeginn10))</f>
        <v>0</v>
      </c>
      <c r="N35" s="10">
        <f>MAX(0,C35-SUM(D35:M35))</f>
        <v>71879.3223928951775</v>
      </c>
      <c r="O35" s="10">
        <f>IF(N35&lt;=0,SUM(D35:M35)-C35,0)</f>
        <v>0</v>
      </c>
      <c r="P35" s="10">
        <f>S35+AP35</f>
        <v>1166501.79007457197</v>
      </c>
      <c r="Q35" s="11">
        <f>IF(P35&gt;0,S35/P35,0)</f>
        <v>0.823891907811528768</v>
      </c>
      <c r="R35" s="11">
        <f>IF(P35&gt;0,AP35/P35,0)</f>
        <v>0.176108092188472831</v>
      </c>
      <c r="S35" s="10">
        <f>AL34</f>
        <v>961071.385290101171</v>
      </c>
      <c r="T35" s="40">
        <f>AM34</f>
        <v>810877.78261141805</v>
      </c>
      <c r="U35" s="40">
        <f aca="1">IF(A35&lt;Param.FireStartjahr,Param.SparrateDepotMonatl*12*(1+Param.SparrateDynamikJaehrl)^($A35-Param.Startjahr),0)</f>
        <v>0</v>
      </c>
      <c r="V35" s="40">
        <f aca="1">IF(AND(Param.SonstigEinmaligKonto1="Depot",$A35=Param.SonstigEinmaligJahr1),Param.SonstigEinmaligBetrag1,0)</f>
        <v>0</v>
      </c>
      <c r="W35" s="40">
        <f aca="1">IF(AND(Param.SonstigEinmaligKonto2="Depot",$A35=Param.SonstigEinmaligJahr2),Param.SonstigEinmaligBetrag2,0)</f>
        <v>0</v>
      </c>
      <c r="X35" s="40">
        <f aca="1">IF(AND(Param.SonstigEinmaligKonto3="Depot",$A35=Param.SonstigEinmaligJahr3),Param.SonstigEinmaligBetrag3,0)</f>
        <v>0</v>
      </c>
      <c r="Y35" s="40">
        <f aca="1">IF(AND(Param.SonstigEinmaligKonto4="Depot",$A35=Param.SonstigEinmaligJahr4),Param.SonstigEinmaligBetrag4,0)</f>
        <v>0</v>
      </c>
      <c r="Z35" s="40">
        <f aca="1">IF(AND(Param.SonstigEinmaligKonto5="Depot",$A35=Param.SonstigEinmaligJahr5),Param.SonstigEinmaligBetrag5,0)</f>
        <v>0</v>
      </c>
      <c r="AA35" s="40">
        <f aca="1">IF(AND(Param.SonstigEinmaligKonto6="Depot",$A35=Param.SonstigEinmaligJahr6),Param.SonstigEinmaligBetrag6,0)</f>
        <v>0</v>
      </c>
      <c r="AB35" s="40">
        <f aca="1">IF(AND(Param.SonstigEinmaligKonto7="Depot",$A35=Param.SonstigEinmaligJahr7),Param.SonstigEinmaligBetrag7,0)</f>
        <v>0</v>
      </c>
      <c r="AC35" s="40">
        <f aca="1">IF(AND(Param.SonstigEinmaligKonto8="Depot",$A35=Param.SonstigEinmaligJahr8),Param.SonstigEinmaligBetrag8,0)</f>
        <v>0</v>
      </c>
      <c r="AD35" s="40">
        <f aca="1">IF(AND(Param.SonstigEinmaligKonto9="Depot",$A35=Param.SonstigEinmaligJahr9),Param.SonstigEinmaligBetrag9,0)</f>
        <v>0</v>
      </c>
      <c r="AE35" s="40">
        <f aca="1">IF(AND(Param.SonstigEinmaligKonto10="Depot",$A35=Param.SonstigEinmaligJahr10),Param.SonstigEinmaligBetrag10,0)</f>
        <v>0</v>
      </c>
      <c r="AF35" s="40">
        <f aca="1">Param.SparerPauschbetrag-BF35</f>
        <v>0</v>
      </c>
      <c r="AG35" s="40">
        <f aca="1">IF(AND(A35&gt;=Param.FireStartjahr,S35&gt;0),MIN(N35*Q35,S35),0)</f>
        <v>59220.7920584823878</v>
      </c>
      <c r="AH35" s="40">
        <f aca="1">IF(AG35&lt;=0,0,IF(S35&lt;=0,0,AG35/(1-MAX(0,((T35/S35)*(1-Param.Teilfreistellung)-MIN(AF35,AG35)/AG35)*Param.KapSt))))</f>
        <v>70147.8911699154414</v>
      </c>
      <c r="AI35" s="40">
        <f>AH35-AG35</f>
        <v>10927.0991114330973</v>
      </c>
      <c r="AJ35" s="40">
        <f>T35-AH35*(T35/S35)</f>
        <v>751692.411662559258</v>
      </c>
      <c r="AK35" s="40">
        <f>S35-AH35</f>
        <v>890923.494120185496</v>
      </c>
      <c r="AL35" s="40">
        <f>FV(AO35,12,-(U35/12),-AK35,0)</f>
        <v>944378.903767361655</v>
      </c>
      <c r="AM35" s="40">
        <f>AJ35+AL35-AK35-U35</f>
        <v>805147.821309734019</v>
      </c>
      <c r="AN35" s="5">
        <f>AM35/AL35</f>
        <v>0.852568622718910163</v>
      </c>
      <c r="AO35" s="5">
        <f aca="1">(1+IF(AND(A35&gt;=Param.DepotRenditeSpezBeginn1,A35&lt;=Param.DepotRenditeSpezEnde1),Param.DepotRenditeSpezProz1,IF(AND(A35&gt;=Param.DepotRenditeSpezBeginn2,A35&lt;=Param.DepotRenditeSpezEnde2),Param.DepotRenditeSpezProz2,IF(AND(A35&gt;=Param.DepotRenditeSpezBeginn3,A35&lt;=Param.DepotRenditeSpezEnde3),Param.DepotRenditeSpezProz3,IF(AND(A35&gt;=Param.DepotRenditeSpezBeginn4,A35&lt;=Param.DepotRenditeSpezEnde4),Param.DepotRenditeSpezProz4,IF(AND(A35&gt;=Param.DepotRenditeSpezBeginn5,A35&lt;=Param.DepotRenditeSpezEnde5),Param.DepotRenditeSpezProz5,Param.DepotRenditeDefault))))))^(1/12)-1</f>
        <v>0.00486755056533993979</v>
      </c>
      <c r="AP35" s="40">
        <f>BJ34</f>
        <v>205430.404784471</v>
      </c>
      <c r="AQ35" s="40">
        <f aca="1">IF(A35&lt;Param.FireStartjahr,Param.SparrateFestgeldMonatl*12*(1+Param.SparrateDynamikJaehrl)^($A35-Param.Startjahr),0)</f>
        <v>0</v>
      </c>
      <c r="AR35" s="40">
        <f>O35</f>
        <v>0</v>
      </c>
      <c r="AS35" s="40">
        <f aca="1">IF(AND(Param.SonstigEinmaligKonto1="Festgeld",$A35=Param.SonstigEinmaligJahr1),Param.SonstigEinmaligBetrag1,0)</f>
        <v>74000</v>
      </c>
      <c r="AT35" s="40">
        <f aca="1">IF(AND(Param.SonstigEinmaligKonto2="Festgeld",$A35=Param.SonstigEinmaligJahr2),Param.SonstigEinmaligBetrag2,0)</f>
        <v>0</v>
      </c>
      <c r="AU35" s="40">
        <f aca="1">IF(AND(Param.SonstigEinmaligKonto3="Festgeld",$A35=Param.SonstigEinmaligJahr3),Param.SonstigEinmaligBetrag3,0)</f>
        <v>0</v>
      </c>
      <c r="AV35" s="40">
        <f aca="1">IF(AND(Param.SonstigEinmaligKonto4="Festgeld",$A35=Param.SonstigEinmaligJahr4),Param.SonstigEinmaligBetrag4,0)</f>
        <v>0</v>
      </c>
      <c r="AW35" s="40">
        <f aca="1">IF(AND(Param.SonstigEinmaligKonto5="Festgeld",$A35=Param.SonstigEinmaligJahr5),Param.SonstigEinmaligBetrag5,0)</f>
        <v>0</v>
      </c>
      <c r="AX35" s="40">
        <f aca="1">IF(AND(Param.SonstigEinmaligKonto6="Festgeld",$A35=Param.SonstigEinmaligJahr6),Param.SonstigEinmaligBetrag6,0)</f>
        <v>0</v>
      </c>
      <c r="AY35" s="40">
        <f aca="1">IF(AND(Param.SonstigEinmaligKonto7="Festgeld",$A35=Param.SonstigEinmaligJahr7),Param.SonstigEinmaligBetrag7,0)</f>
        <v>0</v>
      </c>
      <c r="AZ35" s="40">
        <f aca="1">IF(AND(Param.SonstigEinmaligKonto8="Festgeld",$A35=Param.SonstigEinmaligJahr8),Param.SonstigEinmaligBetrag8,0)</f>
        <v>0</v>
      </c>
      <c r="BA35" s="40">
        <f aca="1">IF(AND(Param.SonstigEinmaligKonto9="Festgeld",$A35=Param.SonstigEinmaligJahr9),Param.SonstigEinmaligBetrag9,0)</f>
        <v>0</v>
      </c>
      <c r="BB35" s="40">
        <f aca="1">IF(AND(Param.SonstigEinmaligKonto10="Festgeld",$A35=Param.SonstigEinmaligJahr10),Param.SonstigEinmaligBetrag10,0)</f>
        <v>0</v>
      </c>
      <c r="BC35" s="40">
        <f aca="1">IF(AND(A35&gt;=Param.FireStartjahr,AP35&gt;0),MIN(N35*R35,AP35),0)</f>
        <v>12658.5303344129607</v>
      </c>
      <c r="BD35" s="5">
        <f aca="1">Param.FestgeldZinssatz</f>
        <v>0.02</v>
      </c>
      <c r="BE35" s="40">
        <f>(AP35+AQ35-BC35)*BD35</f>
        <v>3855.43748900116043</v>
      </c>
      <c r="BF35" s="40">
        <f aca="1">IF(BE35&gt;Param.SparerPauschbetrag,Param.SparerPauschbetrag,BE35)</f>
        <v>1000</v>
      </c>
      <c r="BG35" s="40">
        <f>BE35-BF35</f>
        <v>2855.43748900115997</v>
      </c>
      <c r="BH35" s="40">
        <f aca="1">BG35*Param.KapSt</f>
        <v>753.121637724055859</v>
      </c>
      <c r="BI35" s="40">
        <f>BE35-BH35</f>
        <v>3102.31585127710423</v>
      </c>
      <c r="BJ35" s="63">
        <f>AP35+SUM(AQ35:BB35)-BC35+BI35</f>
        <v>269874.190301335067</v>
      </c>
      <c r="BK35" s="40">
        <f>AL35+BJ35</f>
        <v>1214253.09406869696</v>
      </c>
      <c r="BL35" s="40">
        <f aca="1">BK35/(1+Param.Inflationsrate)^(A35-Param.Startjahr)</f>
        <v>578886.280555613455</v>
      </c>
      <c r="BM35" s="52" t="str">
        <f>IF(BK35&lt;N35,A35,"")</f>
        <v/>
      </c>
      <c r="BN35" s="40">
        <f>AH35+BC35</f>
        <v>82806.421504328493</v>
      </c>
      <c r="BO35" s="40">
        <f>SUM(AR35:BB35)</f>
        <v>74000</v>
      </c>
      <c r="BP35" s="40">
        <f>BN35+(-1*BO35)</f>
        <v>8806.42150432849303</v>
      </c>
      <c r="BQ35" s="40">
        <f>AI35+BH35</f>
        <v>11680.2207491571553</v>
      </c>
      <c r="BR35" s="5">
        <f>IF(BK35&gt;0,BP35/BK35,0)</f>
        <v>0.00725254195138187541</v>
      </c>
    </row>
    <row r="36" spans="1:70">
      <c r="A36">
        <f>A35+1</f>
        <v>2057</v>
      </c>
      <c r="B36">
        <f>B5+(32-1)</f>
        <v>61</v>
      </c>
      <c r="C36" s="10">
        <f aca="1">IF(A36&lt;Param.FireStartjahr,0,Param.EntnahmeBetragStart*(1+Param.Inflationsrate)^(A36-Param.Startjahr))</f>
        <v>64500.2030567649053</v>
      </c>
      <c r="D36" s="40">
        <f aca="1">IF(OR($A36&lt;Param.SonstigRegelmJahrBeginn1,$A36&gt;Param.SonstigRegelmJahrEnd1),0,Param.SonstigRegelmBetragJaehrl1*(1+Param.SonstigRegelmSteig1)^(A36-Param.SonstigRegelmJahrBeginn1))</f>
        <v>0</v>
      </c>
      <c r="E36" s="40">
        <f aca="1">IF(OR($A36&lt;Param.SonstigRegelmJahrBeginn2,$A36&gt;Param.SonstigRegelmJahrEnd2),0,Param.SonstigRegelmBetragJaehrl2*(1+Param.SonstigRegelmSteig2)^($A36-Param.SonstigRegelmJahrBeginn2))</f>
        <v>-9131.34092085035991</v>
      </c>
      <c r="F36" s="40">
        <f aca="1">IF(OR($A36&lt;Param.SonstigRegelmJahrBeginn3,$A36&gt;Param.SonstigRegelmJahrEnd3),0,Param.SonstigRegelmBetragJaehrl3*(1+Param.SonstigRegelmSteig3)^($A36-Param.SonstigRegelmJahrBeginn3))</f>
        <v>0</v>
      </c>
      <c r="G36" s="40">
        <f aca="1">IF(OR($A36&lt;Param.SonstigRegelmJahrBeginn4,$A36&gt;Param.SonstigRegelmJahrEnd4),0,Param.SonstigRegelmBetragJaehrl4*(1+Param.SonstigRegelmSteig4)^($A36-Param.SonstigRegelmJahrBeginn4))</f>
        <v>0</v>
      </c>
      <c r="H36" s="40">
        <f aca="1">IF(OR($A36&lt;Param.SonstigRegelmJahrBeginn5,$A36&gt;Param.SonstigRegelmJahrEnd5),0,Param.SonstigRegelmBetragJaehrl5*(1+Param.SonstigRegelmSteig5)^($A36-Param.SonstigRegelmJahrBeginn5))</f>
        <v>0</v>
      </c>
      <c r="I36" s="40">
        <f aca="1">IF(OR($A36&lt;Param.SonstigRegelmJahrBeginn6,$A36&gt;Param.SonstigRegelmJahrEnd6),0,Param.SonstigRegelmBetragJaehrl6*(1+Param.SonstigRegelmSteig6)^($A36-Param.SonstigRegelmJahrBeginn6))</f>
        <v>0</v>
      </c>
      <c r="J36" s="40">
        <f aca="1">IF(OR($A36&lt;Param.SonstigRegelmJahrBeginn7,$A36&gt;Param.SonstigRegelmJahrEnd7),0,Param.SonstigRegelmBetragJaehrl7*(1+Param.SonstigRegelmSteig7)^($A36-Param.SonstigRegelmJahrBeginn7))</f>
        <v>0</v>
      </c>
      <c r="K36" s="40">
        <f aca="1">IF(OR($A36&lt;Param.SonstigRegelmJahrBeginn8,$A36&gt;Param.SonstigRegelmJahrEnd8),0,Param.SonstigRegelmBetragJaehrl8*(1+Param.SonstigRegelmSteig8)^($A36-Param.SonstigRegelmJahrBeginn8))</f>
        <v>0</v>
      </c>
      <c r="L36" s="40">
        <f aca="1">IF(OR($A36&lt;Param.SonstigRegelmJahrBeginn9,$A36&gt;Param.SonstigRegelmJahrEnd9),0,Param.SonstigRegelmBetragJaehrl9*(1+Param.SonstigRegelmSteig9)^($A36-Param.SonstigRegelmJahrBeginn9))</f>
        <v>0</v>
      </c>
      <c r="M36" s="40">
        <f aca="1">IF(OR($A36&lt;Param.SonstigRegelmJahrBeginn10,$A36&gt;Param.SonstigRegelmJahrEnd10),0,Param.SonstigRegelmBetragJaehrl10*(1+Param.SonstigRegelmSteig10)^($A36-Param.SonstigRegelmJahrBeginn10))</f>
        <v>0</v>
      </c>
      <c r="N36" s="10">
        <f>MAX(0,C36-SUM(D36:M36))</f>
        <v>73631.5439776152634</v>
      </c>
      <c r="O36" s="10">
        <f>IF(N36&lt;=0,SUM(D36:M36)-C36,0)</f>
        <v>0</v>
      </c>
      <c r="P36" s="10">
        <f>S36+AP36</f>
        <v>1214253.09406869696</v>
      </c>
      <c r="Q36" s="11">
        <f>IF(P36&gt;0,S36/P36,0)</f>
        <v>0.7777446962090516</v>
      </c>
      <c r="R36" s="11">
        <f>IF(P36&gt;0,AP36/P36,0)</f>
        <v>0.222255303790945957</v>
      </c>
      <c r="S36" s="10">
        <f>AL35</f>
        <v>944378.903767361655</v>
      </c>
      <c r="T36" s="40">
        <f>AM35</f>
        <v>805147.821309734019</v>
      </c>
      <c r="U36" s="40">
        <f aca="1">IF(A36&lt;Param.FireStartjahr,Param.SparrateDepotMonatl*12*(1+Param.SparrateDynamikJaehrl)^($A36-Param.Startjahr),0)</f>
        <v>0</v>
      </c>
      <c r="V36" s="40">
        <f aca="1">IF(AND(Param.SonstigEinmaligKonto1="Depot",$A36=Param.SonstigEinmaligJahr1),Param.SonstigEinmaligBetrag1,0)</f>
        <v>0</v>
      </c>
      <c r="W36" s="40">
        <f aca="1">IF(AND(Param.SonstigEinmaligKonto2="Depot",$A36=Param.SonstigEinmaligJahr2),Param.SonstigEinmaligBetrag2,0)</f>
        <v>0</v>
      </c>
      <c r="X36" s="40">
        <f aca="1">IF(AND(Param.SonstigEinmaligKonto3="Depot",$A36=Param.SonstigEinmaligJahr3),Param.SonstigEinmaligBetrag3,0)</f>
        <v>0</v>
      </c>
      <c r="Y36" s="40">
        <f aca="1">IF(AND(Param.SonstigEinmaligKonto4="Depot",$A36=Param.SonstigEinmaligJahr4),Param.SonstigEinmaligBetrag4,0)</f>
        <v>0</v>
      </c>
      <c r="Z36" s="40">
        <f aca="1">IF(AND(Param.SonstigEinmaligKonto5="Depot",$A36=Param.SonstigEinmaligJahr5),Param.SonstigEinmaligBetrag5,0)</f>
        <v>0</v>
      </c>
      <c r="AA36" s="40">
        <f aca="1">IF(AND(Param.SonstigEinmaligKonto6="Depot",$A36=Param.SonstigEinmaligJahr6),Param.SonstigEinmaligBetrag6,0)</f>
        <v>0</v>
      </c>
      <c r="AB36" s="40">
        <f aca="1">IF(AND(Param.SonstigEinmaligKonto7="Depot",$A36=Param.SonstigEinmaligJahr7),Param.SonstigEinmaligBetrag7,0)</f>
        <v>0</v>
      </c>
      <c r="AC36" s="40">
        <f aca="1">IF(AND(Param.SonstigEinmaligKonto8="Depot",$A36=Param.SonstigEinmaligJahr8),Param.SonstigEinmaligBetrag8,0)</f>
        <v>0</v>
      </c>
      <c r="AD36" s="40">
        <f aca="1">IF(AND(Param.SonstigEinmaligKonto9="Depot",$A36=Param.SonstigEinmaligJahr9),Param.SonstigEinmaligBetrag9,0)</f>
        <v>0</v>
      </c>
      <c r="AE36" s="40">
        <f aca="1">IF(AND(Param.SonstigEinmaligKonto10="Depot",$A36=Param.SonstigEinmaligJahr10),Param.SonstigEinmaligBetrag10,0)</f>
        <v>0</v>
      </c>
      <c r="AF36" s="40">
        <f aca="1">Param.SparerPauschbetrag-BF36</f>
        <v>0</v>
      </c>
      <c r="AG36" s="40">
        <f aca="1">IF(AND(A36&gt;=Param.FireStartjahr,S36&gt;0),MIN(N36*Q36,S36),0)</f>
        <v>57266.5428022738633</v>
      </c>
      <c r="AH36" s="40">
        <f aca="1">IF(AG36&lt;=0,0,IF(S36&lt;=0,0,AG36/(1-MAX(0,((T36/S36)*(1-Param.Teilfreistellung)-MIN(AF36,AG36)/AG36)*Param.KapSt))))</f>
        <v>67964.5328527992533</v>
      </c>
      <c r="AI36" s="40">
        <f>AH36-AG36</f>
        <v>10697.9900505253972</v>
      </c>
      <c r="AJ36" s="40">
        <f>T36-AH36*(T36/S36)</f>
        <v>747203.393141688779</v>
      </c>
      <c r="AK36" s="40">
        <f>S36-AH36</f>
        <v>876414.370914562722</v>
      </c>
      <c r="AL36" s="40">
        <f>FV(AO36,12,-(U36/12),-AK36,0)</f>
        <v>928999.233169402112</v>
      </c>
      <c r="AM36" s="40">
        <f>AJ36+AL36-AK36-U36</f>
        <v>799788.255396527005</v>
      </c>
      <c r="AN36" s="5">
        <f>AM36/AL36</f>
        <v>0.860913795017833472</v>
      </c>
      <c r="AO36" s="5">
        <f aca="1">(1+IF(AND(A36&gt;=Param.DepotRenditeSpezBeginn1,A36&lt;=Param.DepotRenditeSpezEnde1),Param.DepotRenditeSpezProz1,IF(AND(A36&gt;=Param.DepotRenditeSpezBeginn2,A36&lt;=Param.DepotRenditeSpezEnde2),Param.DepotRenditeSpezProz2,IF(AND(A36&gt;=Param.DepotRenditeSpezBeginn3,A36&lt;=Param.DepotRenditeSpezEnde3),Param.DepotRenditeSpezProz3,IF(AND(A36&gt;=Param.DepotRenditeSpezBeginn4,A36&lt;=Param.DepotRenditeSpezEnde4),Param.DepotRenditeSpezProz4,IF(AND(A36&gt;=Param.DepotRenditeSpezBeginn5,A36&lt;=Param.DepotRenditeSpezEnde5),Param.DepotRenditeSpezProz5,Param.DepotRenditeDefault))))))^(1/12)-1</f>
        <v>0.00486755056533993979</v>
      </c>
      <c r="AP36" s="40">
        <f>BJ35</f>
        <v>269874.190301335067</v>
      </c>
      <c r="AQ36" s="40">
        <f aca="1">IF(A36&lt;Param.FireStartjahr,Param.SparrateFestgeldMonatl*12*(1+Param.SparrateDynamikJaehrl)^($A36-Param.Startjahr),0)</f>
        <v>0</v>
      </c>
      <c r="AR36" s="40">
        <f>O36</f>
        <v>0</v>
      </c>
      <c r="AS36" s="40">
        <f aca="1">IF(AND(Param.SonstigEinmaligKonto1="Festgeld",$A36=Param.SonstigEinmaligJahr1),Param.SonstigEinmaligBetrag1,0)</f>
        <v>0</v>
      </c>
      <c r="AT36" s="40">
        <f aca="1">IF(AND(Param.SonstigEinmaligKonto2="Festgeld",$A36=Param.SonstigEinmaligJahr2),Param.SonstigEinmaligBetrag2,0)</f>
        <v>0</v>
      </c>
      <c r="AU36" s="40">
        <f aca="1">IF(AND(Param.SonstigEinmaligKonto3="Festgeld",$A36=Param.SonstigEinmaligJahr3),Param.SonstigEinmaligBetrag3,0)</f>
        <v>0</v>
      </c>
      <c r="AV36" s="40">
        <f aca="1">IF(AND(Param.SonstigEinmaligKonto4="Festgeld",$A36=Param.SonstigEinmaligJahr4),Param.SonstigEinmaligBetrag4,0)</f>
        <v>0</v>
      </c>
      <c r="AW36" s="40">
        <f aca="1">IF(AND(Param.SonstigEinmaligKonto5="Festgeld",$A36=Param.SonstigEinmaligJahr5),Param.SonstigEinmaligBetrag5,0)</f>
        <v>0</v>
      </c>
      <c r="AX36" s="40">
        <f aca="1">IF(AND(Param.SonstigEinmaligKonto6="Festgeld",$A36=Param.SonstigEinmaligJahr6),Param.SonstigEinmaligBetrag6,0)</f>
        <v>0</v>
      </c>
      <c r="AY36" s="40">
        <f aca="1">IF(AND(Param.SonstigEinmaligKonto7="Festgeld",$A36=Param.SonstigEinmaligJahr7),Param.SonstigEinmaligBetrag7,0)</f>
        <v>0</v>
      </c>
      <c r="AZ36" s="40">
        <f aca="1">IF(AND(Param.SonstigEinmaligKonto8="Festgeld",$A36=Param.SonstigEinmaligJahr8),Param.SonstigEinmaligBetrag8,0)</f>
        <v>0</v>
      </c>
      <c r="BA36" s="40">
        <f aca="1">IF(AND(Param.SonstigEinmaligKonto9="Festgeld",$A36=Param.SonstigEinmaligJahr9),Param.SonstigEinmaligBetrag9,0)</f>
        <v>0</v>
      </c>
      <c r="BB36" s="40">
        <f aca="1">IF(AND(Param.SonstigEinmaligKonto10="Festgeld",$A36=Param.SonstigEinmaligJahr10),Param.SonstigEinmaligBetrag10,0)</f>
        <v>0</v>
      </c>
      <c r="BC36" s="40">
        <f aca="1">IF(AND(A36&gt;=Param.FireStartjahr,AP36&gt;0),MIN(N36*R36,AP36),0)</f>
        <v>16365.0011753412891</v>
      </c>
      <c r="BD36" s="5">
        <f aca="1">Param.FestgeldZinssatz</f>
        <v>0.02</v>
      </c>
      <c r="BE36" s="40">
        <f>(AP36+AQ36-BC36)*BD36</f>
        <v>5070.18378251987997</v>
      </c>
      <c r="BF36" s="40">
        <f aca="1">IF(BE36&gt;Param.SparerPauschbetrag,Param.SparerPauschbetrag,BE36)</f>
        <v>1000</v>
      </c>
      <c r="BG36" s="40">
        <f>BE36-BF36</f>
        <v>4070.18378251987997</v>
      </c>
      <c r="BH36" s="40">
        <f aca="1">BG36*Param.KapSt</f>
        <v>1073.51097263961833</v>
      </c>
      <c r="BI36" s="40">
        <f>BE36-BH36</f>
        <v>3996.67280988026005</v>
      </c>
      <c r="BJ36" s="63">
        <f>AP36+SUM(AQ36:BB36)-BC36+BI36</f>
        <v>257505.861935874243</v>
      </c>
      <c r="BK36" s="40">
        <f>AL36+BJ36</f>
        <v>1186505.09510527598</v>
      </c>
      <c r="BL36" s="40">
        <f aca="1">BK36/(1+Param.Inflationsrate)^(A36-Param.Startjahr)</f>
        <v>551861.097581848735</v>
      </c>
      <c r="BM36" s="52" t="str">
        <f>IF(BK36&lt;N36,A36,"")</f>
        <v/>
      </c>
      <c r="BN36" s="40">
        <f>AH36+BC36</f>
        <v>84329.5340281405952</v>
      </c>
      <c r="BO36" s="40">
        <f>SUM(AR36:BB36)</f>
        <v>0</v>
      </c>
      <c r="BP36" s="40">
        <f>BN36+(-1*BO36)</f>
        <v>84329.5340281405952</v>
      </c>
      <c r="BQ36" s="40">
        <f>AI36+BH36</f>
        <v>11771.5010231650213</v>
      </c>
      <c r="BR36" s="5">
        <f>IF(BK36&gt;0,BP36/BK36,0)</f>
        <v>0.071073891191894063</v>
      </c>
    </row>
    <row r="37" spans="1:70">
      <c r="A37">
        <f>A36+1</f>
        <v>2058</v>
      </c>
      <c r="B37">
        <f>B5+(33-1)</f>
        <v>62</v>
      </c>
      <c r="C37" s="10">
        <f aca="1">IF(A37&lt;Param.FireStartjahr,0,Param.EntnahmeBetragStart*(1+Param.Inflationsrate)^(A37-Param.Startjahr))</f>
        <v>66112.7081331840018</v>
      </c>
      <c r="D37" s="40">
        <f aca="1">IF(OR($A37&lt;Param.SonstigRegelmJahrBeginn1,$A37&gt;Param.SonstigRegelmJahrEnd1),0,Param.SonstigRegelmBetragJaehrl1*(1+Param.SonstigRegelmSteig1)^(A37-Param.SonstigRegelmJahrBeginn1))</f>
        <v>0</v>
      </c>
      <c r="E37" s="40">
        <f aca="1">IF(OR($A37&lt;Param.SonstigRegelmJahrBeginn2,$A37&gt;Param.SonstigRegelmJahrEnd2),0,Param.SonstigRegelmBetragJaehrl2*(1+Param.SonstigRegelmSteig2)^($A37-Param.SonstigRegelmJahrBeginn2))</f>
        <v>-9313.96773926736023</v>
      </c>
      <c r="F37" s="40">
        <f aca="1">IF(OR($A37&lt;Param.SonstigRegelmJahrBeginn3,$A37&gt;Param.SonstigRegelmJahrEnd3),0,Param.SonstigRegelmBetragJaehrl3*(1+Param.SonstigRegelmSteig3)^($A37-Param.SonstigRegelmJahrBeginn3))</f>
        <v>0</v>
      </c>
      <c r="G37" s="40">
        <f aca="1">IF(OR($A37&lt;Param.SonstigRegelmJahrBeginn4,$A37&gt;Param.SonstigRegelmJahrEnd4),0,Param.SonstigRegelmBetragJaehrl4*(1+Param.SonstigRegelmSteig4)^($A37-Param.SonstigRegelmJahrBeginn4))</f>
        <v>0</v>
      </c>
      <c r="H37" s="40">
        <f aca="1">IF(OR($A37&lt;Param.SonstigRegelmJahrBeginn5,$A37&gt;Param.SonstigRegelmJahrEnd5),0,Param.SonstigRegelmBetragJaehrl5*(1+Param.SonstigRegelmSteig5)^($A37-Param.SonstigRegelmJahrBeginn5))</f>
        <v>0</v>
      </c>
      <c r="I37" s="40">
        <f aca="1">IF(OR($A37&lt;Param.SonstigRegelmJahrBeginn6,$A37&gt;Param.SonstigRegelmJahrEnd6),0,Param.SonstigRegelmBetragJaehrl6*(1+Param.SonstigRegelmSteig6)^($A37-Param.SonstigRegelmJahrBeginn6))</f>
        <v>0</v>
      </c>
      <c r="J37" s="40">
        <f aca="1">IF(OR($A37&lt;Param.SonstigRegelmJahrBeginn7,$A37&gt;Param.SonstigRegelmJahrEnd7),0,Param.SonstigRegelmBetragJaehrl7*(1+Param.SonstigRegelmSteig7)^($A37-Param.SonstigRegelmJahrBeginn7))</f>
        <v>0</v>
      </c>
      <c r="K37" s="40">
        <f aca="1">IF(OR($A37&lt;Param.SonstigRegelmJahrBeginn8,$A37&gt;Param.SonstigRegelmJahrEnd8),0,Param.SonstigRegelmBetragJaehrl8*(1+Param.SonstigRegelmSteig8)^($A37-Param.SonstigRegelmJahrBeginn8))</f>
        <v>0</v>
      </c>
      <c r="L37" s="40">
        <f aca="1">IF(OR($A37&lt;Param.SonstigRegelmJahrBeginn9,$A37&gt;Param.SonstigRegelmJahrEnd9),0,Param.SonstigRegelmBetragJaehrl9*(1+Param.SonstigRegelmSteig9)^($A37-Param.SonstigRegelmJahrBeginn9))</f>
        <v>0</v>
      </c>
      <c r="M37" s="40">
        <f aca="1">IF(OR($A37&lt;Param.SonstigRegelmJahrBeginn10,$A37&gt;Param.SonstigRegelmJahrEnd10),0,Param.SonstigRegelmBetragJaehrl10*(1+Param.SonstigRegelmSteig10)^($A37-Param.SonstigRegelmJahrBeginn10))</f>
        <v>0</v>
      </c>
      <c r="N37" s="10">
        <f>MAX(0,C37-SUM(D37:M37))</f>
        <v>75426.6758724513638</v>
      </c>
      <c r="O37" s="10">
        <f>IF(N37&lt;=0,SUM(D37:M37)-C37,0)</f>
        <v>0</v>
      </c>
      <c r="P37" s="10">
        <f>S37+AP37</f>
        <v>1186505.09510527598</v>
      </c>
      <c r="Q37" s="11">
        <f>IF(P37&gt;0,S37/P37,0)</f>
        <v>0.782971128402083139</v>
      </c>
      <c r="R37" s="11">
        <f>IF(P37&gt;0,AP37/P37,0)</f>
        <v>0.217028871597913575</v>
      </c>
      <c r="S37" s="10">
        <f>AL36</f>
        <v>928999.233169402112</v>
      </c>
      <c r="T37" s="40">
        <f>AM36</f>
        <v>799788.255396527005</v>
      </c>
      <c r="U37" s="40">
        <f aca="1">IF(A37&lt;Param.FireStartjahr,Param.SparrateDepotMonatl*12*(1+Param.SparrateDynamikJaehrl)^($A37-Param.Startjahr),0)</f>
        <v>0</v>
      </c>
      <c r="V37" s="40">
        <f aca="1">IF(AND(Param.SonstigEinmaligKonto1="Depot",$A37=Param.SonstigEinmaligJahr1),Param.SonstigEinmaligBetrag1,0)</f>
        <v>0</v>
      </c>
      <c r="W37" s="40">
        <f aca="1">IF(AND(Param.SonstigEinmaligKonto2="Depot",$A37=Param.SonstigEinmaligJahr2),Param.SonstigEinmaligBetrag2,0)</f>
        <v>0</v>
      </c>
      <c r="X37" s="40">
        <f aca="1">IF(AND(Param.SonstigEinmaligKonto3="Depot",$A37=Param.SonstigEinmaligJahr3),Param.SonstigEinmaligBetrag3,0)</f>
        <v>0</v>
      </c>
      <c r="Y37" s="40">
        <f aca="1">IF(AND(Param.SonstigEinmaligKonto4="Depot",$A37=Param.SonstigEinmaligJahr4),Param.SonstigEinmaligBetrag4,0)</f>
        <v>0</v>
      </c>
      <c r="Z37" s="40">
        <f aca="1">IF(AND(Param.SonstigEinmaligKonto5="Depot",$A37=Param.SonstigEinmaligJahr5),Param.SonstigEinmaligBetrag5,0)</f>
        <v>0</v>
      </c>
      <c r="AA37" s="40">
        <f aca="1">IF(AND(Param.SonstigEinmaligKonto6="Depot",$A37=Param.SonstigEinmaligJahr6),Param.SonstigEinmaligBetrag6,0)</f>
        <v>0</v>
      </c>
      <c r="AB37" s="40">
        <f aca="1">IF(AND(Param.SonstigEinmaligKonto7="Depot",$A37=Param.SonstigEinmaligJahr7),Param.SonstigEinmaligBetrag7,0)</f>
        <v>0</v>
      </c>
      <c r="AC37" s="40">
        <f aca="1">IF(AND(Param.SonstigEinmaligKonto8="Depot",$A37=Param.SonstigEinmaligJahr8),Param.SonstigEinmaligBetrag8,0)</f>
        <v>0</v>
      </c>
      <c r="AD37" s="40">
        <f aca="1">IF(AND(Param.SonstigEinmaligKonto9="Depot",$A37=Param.SonstigEinmaligJahr9),Param.SonstigEinmaligBetrag9,0)</f>
        <v>0</v>
      </c>
      <c r="AE37" s="40">
        <f aca="1">IF(AND(Param.SonstigEinmaligKonto10="Depot",$A37=Param.SonstigEinmaligJahr10),Param.SonstigEinmaligBetrag10,0)</f>
        <v>0</v>
      </c>
      <c r="AF37" s="40">
        <f aca="1">Param.SparerPauschbetrag-BF37</f>
        <v>0</v>
      </c>
      <c r="AG37" s="40">
        <f aca="1">IF(AND(A37&gt;=Param.FireStartjahr,S37&gt;0),MIN(N37*Q37,S37),0)</f>
        <v>59056.9095194714391</v>
      </c>
      <c r="AH37" s="40">
        <f aca="1">IF(AG37&lt;=0,0,IF(S37&lt;=0,0,AG37/(1-MAX(0,((T37/S37)*(1-Param.Teilfreistellung)-MIN(AF37,AG37)/AG37)*Param.KapSt))))</f>
        <v>70217.755605980492</v>
      </c>
      <c r="AI37" s="40">
        <f>AH37-AG37</f>
        <v>11160.8460865091038</v>
      </c>
      <c r="AJ37" s="40">
        <f>T37-AH37*(T37/S37)</f>
        <v>739336.820940147503</v>
      </c>
      <c r="AK37" s="40">
        <f>S37-AH37</f>
        <v>858781.477563421475</v>
      </c>
      <c r="AL37" s="40">
        <f>FV(AO37,12,-(U37/12),-AK37,0)</f>
        <v>910308.366217193077</v>
      </c>
      <c r="AM37" s="40">
        <f>AJ37+AL37-AK37-U37</f>
        <v>790863.709593918058</v>
      </c>
      <c r="AN37" s="5">
        <f>AM37/AL37</f>
        <v>0.868786599073421861</v>
      </c>
      <c r="AO37" s="5">
        <f aca="1">(1+IF(AND(A37&gt;=Param.DepotRenditeSpezBeginn1,A37&lt;=Param.DepotRenditeSpezEnde1),Param.DepotRenditeSpezProz1,IF(AND(A37&gt;=Param.DepotRenditeSpezBeginn2,A37&lt;=Param.DepotRenditeSpezEnde2),Param.DepotRenditeSpezProz2,IF(AND(A37&gt;=Param.DepotRenditeSpezBeginn3,A37&lt;=Param.DepotRenditeSpezEnde3),Param.DepotRenditeSpezProz3,IF(AND(A37&gt;=Param.DepotRenditeSpezBeginn4,A37&lt;=Param.DepotRenditeSpezEnde4),Param.DepotRenditeSpezProz4,IF(AND(A37&gt;=Param.DepotRenditeSpezBeginn5,A37&lt;=Param.DepotRenditeSpezEnde5),Param.DepotRenditeSpezProz5,Param.DepotRenditeDefault))))))^(1/12)-1</f>
        <v>0.00486755056533993979</v>
      </c>
      <c r="AP37" s="40">
        <f>BJ36</f>
        <v>257505.861935874243</v>
      </c>
      <c r="AQ37" s="40">
        <f aca="1">IF(A37&lt;Param.FireStartjahr,Param.SparrateFestgeldMonatl*12*(1+Param.SparrateDynamikJaehrl)^($A37-Param.Startjahr),0)</f>
        <v>0</v>
      </c>
      <c r="AR37" s="40">
        <f>O37</f>
        <v>0</v>
      </c>
      <c r="AS37" s="40">
        <f aca="1">IF(AND(Param.SonstigEinmaligKonto1="Festgeld",$A37=Param.SonstigEinmaligJahr1),Param.SonstigEinmaligBetrag1,0)</f>
        <v>0</v>
      </c>
      <c r="AT37" s="40">
        <f aca="1">IF(AND(Param.SonstigEinmaligKonto2="Festgeld",$A37=Param.SonstigEinmaligJahr2),Param.SonstigEinmaligBetrag2,0)</f>
        <v>0</v>
      </c>
      <c r="AU37" s="40">
        <f aca="1">IF(AND(Param.SonstigEinmaligKonto3="Festgeld",$A37=Param.SonstigEinmaligJahr3),Param.SonstigEinmaligBetrag3,0)</f>
        <v>0</v>
      </c>
      <c r="AV37" s="40">
        <f aca="1">IF(AND(Param.SonstigEinmaligKonto4="Festgeld",$A37=Param.SonstigEinmaligJahr4),Param.SonstigEinmaligBetrag4,0)</f>
        <v>0</v>
      </c>
      <c r="AW37" s="40">
        <f aca="1">IF(AND(Param.SonstigEinmaligKonto5="Festgeld",$A37=Param.SonstigEinmaligJahr5),Param.SonstigEinmaligBetrag5,0)</f>
        <v>0</v>
      </c>
      <c r="AX37" s="40">
        <f aca="1">IF(AND(Param.SonstigEinmaligKonto6="Festgeld",$A37=Param.SonstigEinmaligJahr6),Param.SonstigEinmaligBetrag6,0)</f>
        <v>0</v>
      </c>
      <c r="AY37" s="40">
        <f aca="1">IF(AND(Param.SonstigEinmaligKonto7="Festgeld",$A37=Param.SonstigEinmaligJahr7),Param.SonstigEinmaligBetrag7,0)</f>
        <v>0</v>
      </c>
      <c r="AZ37" s="40">
        <f aca="1">IF(AND(Param.SonstigEinmaligKonto8="Festgeld",$A37=Param.SonstigEinmaligJahr8),Param.SonstigEinmaligBetrag8,0)</f>
        <v>0</v>
      </c>
      <c r="BA37" s="40">
        <f aca="1">IF(AND(Param.SonstigEinmaligKonto9="Festgeld",$A37=Param.SonstigEinmaligJahr9),Param.SonstigEinmaligBetrag9,0)</f>
        <v>0</v>
      </c>
      <c r="BB37" s="40">
        <f aca="1">IF(AND(Param.SonstigEinmaligKonto10="Festgeld",$A37=Param.SonstigEinmaligJahr10),Param.SonstigEinmaligBetrag10,0)</f>
        <v>0</v>
      </c>
      <c r="BC37" s="40">
        <f aca="1">IF(AND(A37&gt;=Param.FireStartjahr,AP37&gt;0),MIN(N37*R37,AP37),0)</f>
        <v>16369.7663529797319</v>
      </c>
      <c r="BD37" s="5">
        <f aca="1">Param.FestgeldZinssatz</f>
        <v>0.02</v>
      </c>
      <c r="BE37" s="40">
        <f>(AP37+AQ37-BC37)*BD37</f>
        <v>4822.7219116578799</v>
      </c>
      <c r="BF37" s="40">
        <f aca="1">IF(BE37&gt;Param.SparerPauschbetrag,Param.SparerPauschbetrag,BE37)</f>
        <v>1000</v>
      </c>
      <c r="BG37" s="40">
        <f>BE37-BF37</f>
        <v>3822.7219116578799</v>
      </c>
      <c r="BH37" s="40">
        <f aca="1">BG37*Param.KapSt</f>
        <v>1008.2429041997658</v>
      </c>
      <c r="BI37" s="40">
        <f>BE37-BH37</f>
        <v>3814.47900745810966</v>
      </c>
      <c r="BJ37" s="63">
        <f>AP37+SUM(AQ37:BB37)-BC37+BI37</f>
        <v>244950.574590352102</v>
      </c>
      <c r="BK37" s="40">
        <f>AL37+BJ37</f>
        <v>1155258.94080754486</v>
      </c>
      <c r="BL37" s="40">
        <f aca="1">BK37/(1+Param.Inflationsrate)^(A37-Param.Startjahr)</f>
        <v>524222.48615815962</v>
      </c>
      <c r="BM37" s="52" t="str">
        <f>IF(BK37&lt;N37,A37,"")</f>
        <v/>
      </c>
      <c r="BN37" s="40">
        <f>AH37+BC37</f>
        <v>86587.5219589602057</v>
      </c>
      <c r="BO37" s="40">
        <f>SUM(AR37:BB37)</f>
        <v>0</v>
      </c>
      <c r="BP37" s="40">
        <f>BN37+(-1*BO37)</f>
        <v>86587.5219589602057</v>
      </c>
      <c r="BQ37" s="40">
        <f>AI37+BH37</f>
        <v>12169.0889907088695</v>
      </c>
      <c r="BR37" s="5">
        <f>IF(BK37&gt;0,BP37/BK37,0)</f>
        <v>0.0749507481832893063</v>
      </c>
    </row>
    <row r="38" spans="1:70">
      <c r="A38">
        <f>A37+1</f>
        <v>2059</v>
      </c>
      <c r="B38">
        <f>B5+(34-1)</f>
        <v>63</v>
      </c>
      <c r="C38" s="10">
        <f aca="1">IF(A38&lt;Param.FireStartjahr,0,Param.EntnahmeBetragStart*(1+Param.Inflationsrate)^(A38-Param.Startjahr))</f>
        <v>67765.525836513596</v>
      </c>
      <c r="D38" s="40">
        <f aca="1">IF(OR($A38&lt;Param.SonstigRegelmJahrBeginn1,$A38&gt;Param.SonstigRegelmJahrEnd1),0,Param.SonstigRegelmBetragJaehrl1*(1+Param.SonstigRegelmSteig1)^(A38-Param.SonstigRegelmJahrBeginn1))</f>
        <v>0</v>
      </c>
      <c r="E38" s="40">
        <f aca="1">IF(OR($A38&lt;Param.SonstigRegelmJahrBeginn2,$A38&gt;Param.SonstigRegelmJahrEnd2),0,Param.SonstigRegelmBetragJaehrl2*(1+Param.SonstigRegelmSteig2)^($A38-Param.SonstigRegelmJahrBeginn2))</f>
        <v>-9500.24709405266367</v>
      </c>
      <c r="F38" s="40">
        <f aca="1">IF(OR($A38&lt;Param.SonstigRegelmJahrBeginn3,$A38&gt;Param.SonstigRegelmJahrEnd3),0,Param.SonstigRegelmBetragJaehrl3*(1+Param.SonstigRegelmSteig3)^($A38-Param.SonstigRegelmJahrBeginn3))</f>
        <v>0</v>
      </c>
      <c r="G38" s="40">
        <f aca="1">IF(OR($A38&lt;Param.SonstigRegelmJahrBeginn4,$A38&gt;Param.SonstigRegelmJahrEnd4),0,Param.SonstigRegelmBetragJaehrl4*(1+Param.SonstigRegelmSteig4)^($A38-Param.SonstigRegelmJahrBeginn4))</f>
        <v>0</v>
      </c>
      <c r="H38" s="40">
        <f aca="1">IF(OR($A38&lt;Param.SonstigRegelmJahrBeginn5,$A38&gt;Param.SonstigRegelmJahrEnd5),0,Param.SonstigRegelmBetragJaehrl5*(1+Param.SonstigRegelmSteig5)^($A38-Param.SonstigRegelmJahrBeginn5))</f>
        <v>0</v>
      </c>
      <c r="I38" s="40">
        <f aca="1">IF(OR($A38&lt;Param.SonstigRegelmJahrBeginn6,$A38&gt;Param.SonstigRegelmJahrEnd6),0,Param.SonstigRegelmBetragJaehrl6*(1+Param.SonstigRegelmSteig6)^($A38-Param.SonstigRegelmJahrBeginn6))</f>
        <v>0</v>
      </c>
      <c r="J38" s="40">
        <f aca="1">IF(OR($A38&lt;Param.SonstigRegelmJahrBeginn7,$A38&gt;Param.SonstigRegelmJahrEnd7),0,Param.SonstigRegelmBetragJaehrl7*(1+Param.SonstigRegelmSteig7)^($A38-Param.SonstigRegelmJahrBeginn7))</f>
        <v>0</v>
      </c>
      <c r="K38" s="40">
        <f aca="1">IF(OR($A38&lt;Param.SonstigRegelmJahrBeginn8,$A38&gt;Param.SonstigRegelmJahrEnd8),0,Param.SonstigRegelmBetragJaehrl8*(1+Param.SonstigRegelmSteig8)^($A38-Param.SonstigRegelmJahrBeginn8))</f>
        <v>0</v>
      </c>
      <c r="L38" s="40">
        <f aca="1">IF(OR($A38&lt;Param.SonstigRegelmJahrBeginn9,$A38&gt;Param.SonstigRegelmJahrEnd9),0,Param.SonstigRegelmBetragJaehrl9*(1+Param.SonstigRegelmSteig9)^($A38-Param.SonstigRegelmJahrBeginn9))</f>
        <v>0</v>
      </c>
      <c r="M38" s="40">
        <f aca="1">IF(OR($A38&lt;Param.SonstigRegelmJahrBeginn10,$A38&gt;Param.SonstigRegelmJahrEnd10),0,Param.SonstigRegelmBetragJaehrl10*(1+Param.SonstigRegelmSteig10)^($A38-Param.SonstigRegelmJahrBeginn10))</f>
        <v>0</v>
      </c>
      <c r="N38" s="10">
        <f>MAX(0,C38-SUM(D38:M38))</f>
        <v>77265.7729305662651</v>
      </c>
      <c r="O38" s="10">
        <f>IF(N38&lt;=0,SUM(D38:M38)-C38,0)</f>
        <v>0</v>
      </c>
      <c r="P38" s="10">
        <f>S38+AP38</f>
        <v>1155258.94080754486</v>
      </c>
      <c r="Q38" s="11">
        <f>IF(P38&gt;0,S38/P38,0)</f>
        <v>0.787969115894371264</v>
      </c>
      <c r="R38" s="11">
        <f>IF(P38&gt;0,AP38/P38,0)</f>
        <v>0.212030884105624384</v>
      </c>
      <c r="S38" s="10">
        <f>AL37</f>
        <v>910308.366217193077</v>
      </c>
      <c r="T38" s="40">
        <f>AM37</f>
        <v>790863.709593918058</v>
      </c>
      <c r="U38" s="40">
        <f aca="1">IF(A38&lt;Param.FireStartjahr,Param.SparrateDepotMonatl*12*(1+Param.SparrateDynamikJaehrl)^($A38-Param.Startjahr),0)</f>
        <v>0</v>
      </c>
      <c r="V38" s="40">
        <f aca="1">IF(AND(Param.SonstigEinmaligKonto1="Depot",$A38=Param.SonstigEinmaligJahr1),Param.SonstigEinmaligBetrag1,0)</f>
        <v>0</v>
      </c>
      <c r="W38" s="40">
        <f aca="1">IF(AND(Param.SonstigEinmaligKonto2="Depot",$A38=Param.SonstigEinmaligJahr2),Param.SonstigEinmaligBetrag2,0)</f>
        <v>0</v>
      </c>
      <c r="X38" s="40">
        <f aca="1">IF(AND(Param.SonstigEinmaligKonto3="Depot",$A38=Param.SonstigEinmaligJahr3),Param.SonstigEinmaligBetrag3,0)</f>
        <v>0</v>
      </c>
      <c r="Y38" s="40">
        <f aca="1">IF(AND(Param.SonstigEinmaligKonto4="Depot",$A38=Param.SonstigEinmaligJahr4),Param.SonstigEinmaligBetrag4,0)</f>
        <v>0</v>
      </c>
      <c r="Z38" s="40">
        <f aca="1">IF(AND(Param.SonstigEinmaligKonto5="Depot",$A38=Param.SonstigEinmaligJahr5),Param.SonstigEinmaligBetrag5,0)</f>
        <v>0</v>
      </c>
      <c r="AA38" s="40">
        <f aca="1">IF(AND(Param.SonstigEinmaligKonto6="Depot",$A38=Param.SonstigEinmaligJahr6),Param.SonstigEinmaligBetrag6,0)</f>
        <v>0</v>
      </c>
      <c r="AB38" s="40">
        <f aca="1">IF(AND(Param.SonstigEinmaligKonto7="Depot",$A38=Param.SonstigEinmaligJahr7),Param.SonstigEinmaligBetrag7,0)</f>
        <v>0</v>
      </c>
      <c r="AC38" s="40">
        <f aca="1">IF(AND(Param.SonstigEinmaligKonto8="Depot",$A38=Param.SonstigEinmaligJahr8),Param.SonstigEinmaligBetrag8,0)</f>
        <v>0</v>
      </c>
      <c r="AD38" s="40">
        <f aca="1">IF(AND(Param.SonstigEinmaligKonto9="Depot",$A38=Param.SonstigEinmaligJahr9),Param.SonstigEinmaligBetrag9,0)</f>
        <v>0</v>
      </c>
      <c r="AE38" s="40">
        <f aca="1">IF(AND(Param.SonstigEinmaligKonto10="Depot",$A38=Param.SonstigEinmaligJahr10),Param.SonstigEinmaligBetrag10,0)</f>
        <v>0</v>
      </c>
      <c r="AF38" s="40">
        <f aca="1">Param.SparerPauschbetrag-BF38</f>
        <v>0</v>
      </c>
      <c r="AG38" s="40">
        <f aca="1">IF(AND(A38&gt;=Param.FireStartjahr,S38&gt;0),MIN(N38*Q38,S38),0)</f>
        <v>60883.042784993544</v>
      </c>
      <c r="AH38" s="40">
        <f aca="1">IF(AG38&lt;=0,0,IF(S38&lt;=0,0,AG38/(1-MAX(0,((T38/S38)*(1-Param.Teilfreistellung)-MIN(AF38,AG38)/AG38)*Param.KapSt))))</f>
        <v>72514.319801664853</v>
      </c>
      <c r="AI38" s="40">
        <f>AH38-AG38</f>
        <v>11631.2770166712944</v>
      </c>
      <c r="AJ38" s="40">
        <f>T38-AH38*(T38/S38)</f>
        <v>727864.240309307119</v>
      </c>
      <c r="AK38" s="40">
        <f>S38-AH38</f>
        <v>837794.04641552805</v>
      </c>
      <c r="AL38" s="40">
        <f>FV(AO38,12,-(U38/12),-AK38,0)</f>
        <v>888061.689200426801</v>
      </c>
      <c r="AM38" s="40">
        <f>AJ38+AL38-AK38-U38</f>
        <v>778131.883094202029</v>
      </c>
      <c r="AN38" s="5">
        <f>AM38/AL38</f>
        <v>0.876213772710766214</v>
      </c>
      <c r="AO38" s="5">
        <f aca="1">(1+IF(AND(A38&gt;=Param.DepotRenditeSpezBeginn1,A38&lt;=Param.DepotRenditeSpezEnde1),Param.DepotRenditeSpezProz1,IF(AND(A38&gt;=Param.DepotRenditeSpezBeginn2,A38&lt;=Param.DepotRenditeSpezEnde2),Param.DepotRenditeSpezProz2,IF(AND(A38&gt;=Param.DepotRenditeSpezBeginn3,A38&lt;=Param.DepotRenditeSpezEnde3),Param.DepotRenditeSpezProz3,IF(AND(A38&gt;=Param.DepotRenditeSpezBeginn4,A38&lt;=Param.DepotRenditeSpezEnde4),Param.DepotRenditeSpezProz4,IF(AND(A38&gt;=Param.DepotRenditeSpezBeginn5,A38&lt;=Param.DepotRenditeSpezEnde5),Param.DepotRenditeSpezProz5,Param.DepotRenditeDefault))))))^(1/12)-1</f>
        <v>0.00486755056533993979</v>
      </c>
      <c r="AP38" s="40">
        <f>BJ37</f>
        <v>244950.574590352102</v>
      </c>
      <c r="AQ38" s="40">
        <f aca="1">IF(A38&lt;Param.FireStartjahr,Param.SparrateFestgeldMonatl*12*(1+Param.SparrateDynamikJaehrl)^($A38-Param.Startjahr),0)</f>
        <v>0</v>
      </c>
      <c r="AR38" s="40">
        <f>O38</f>
        <v>0</v>
      </c>
      <c r="AS38" s="40">
        <f aca="1">IF(AND(Param.SonstigEinmaligKonto1="Festgeld",$A38=Param.SonstigEinmaligJahr1),Param.SonstigEinmaligBetrag1,0)</f>
        <v>0</v>
      </c>
      <c r="AT38" s="40">
        <f aca="1">IF(AND(Param.SonstigEinmaligKonto2="Festgeld",$A38=Param.SonstigEinmaligJahr2),Param.SonstigEinmaligBetrag2,0)</f>
        <v>0</v>
      </c>
      <c r="AU38" s="40">
        <f aca="1">IF(AND(Param.SonstigEinmaligKonto3="Festgeld",$A38=Param.SonstigEinmaligJahr3),Param.SonstigEinmaligBetrag3,0)</f>
        <v>0</v>
      </c>
      <c r="AV38" s="40">
        <f aca="1">IF(AND(Param.SonstigEinmaligKonto4="Festgeld",$A38=Param.SonstigEinmaligJahr4),Param.SonstigEinmaligBetrag4,0)</f>
        <v>0</v>
      </c>
      <c r="AW38" s="40">
        <f aca="1">IF(AND(Param.SonstigEinmaligKonto5="Festgeld",$A38=Param.SonstigEinmaligJahr5),Param.SonstigEinmaligBetrag5,0)</f>
        <v>0</v>
      </c>
      <c r="AX38" s="40">
        <f aca="1">IF(AND(Param.SonstigEinmaligKonto6="Festgeld",$A38=Param.SonstigEinmaligJahr6),Param.SonstigEinmaligBetrag6,0)</f>
        <v>0</v>
      </c>
      <c r="AY38" s="40">
        <f aca="1">IF(AND(Param.SonstigEinmaligKonto7="Festgeld",$A38=Param.SonstigEinmaligJahr7),Param.SonstigEinmaligBetrag7,0)</f>
        <v>0</v>
      </c>
      <c r="AZ38" s="40">
        <f aca="1">IF(AND(Param.SonstigEinmaligKonto8="Festgeld",$A38=Param.SonstigEinmaligJahr8),Param.SonstigEinmaligBetrag8,0)</f>
        <v>0</v>
      </c>
      <c r="BA38" s="40">
        <f aca="1">IF(AND(Param.SonstigEinmaligKonto9="Festgeld",$A38=Param.SonstigEinmaligJahr9),Param.SonstigEinmaligBetrag9,0)</f>
        <v>0</v>
      </c>
      <c r="BB38" s="40">
        <f aca="1">IF(AND(Param.SonstigEinmaligKonto10="Festgeld",$A38=Param.SonstigEinmaligJahr10),Param.SonstigEinmaligBetrag10,0)</f>
        <v>0</v>
      </c>
      <c r="BC38" s="40">
        <f aca="1">IF(AND(A38&gt;=Param.FireStartjahr,AP38&gt;0),MIN(N38*R38,AP38),0)</f>
        <v>16382.7301455723627</v>
      </c>
      <c r="BD38" s="5">
        <f aca="1">Param.FestgeldZinssatz</f>
        <v>0.02</v>
      </c>
      <c r="BE38" s="40">
        <f>(AP38+AQ38-BC38)*BD38</f>
        <v>4571.3568888955997</v>
      </c>
      <c r="BF38" s="40">
        <f aca="1">IF(BE38&gt;Param.SparerPauschbetrag,Param.SparerPauschbetrag,BE38)</f>
        <v>1000</v>
      </c>
      <c r="BG38" s="40">
        <f>BE38-BF38</f>
        <v>3571.3568888955997</v>
      </c>
      <c r="BH38" s="40">
        <f aca="1">BG38*Param.KapSt</f>
        <v>941.945379446214474</v>
      </c>
      <c r="BI38" s="40">
        <f>BE38-BH38</f>
        <v>3629.41150944938454</v>
      </c>
      <c r="BJ38" s="63">
        <f>AP38+SUM(AQ38:BB38)-BC38+BI38</f>
        <v>232197.255954229389</v>
      </c>
      <c r="BK38" s="40">
        <f>AL38+BJ38</f>
        <v>1120258.94515465596</v>
      </c>
      <c r="BL38" s="40">
        <f aca="1">BK38/(1+Param.Inflationsrate)^(A38-Param.Startjahr)</f>
        <v>495941.969604420417</v>
      </c>
      <c r="BM38" s="52" t="str">
        <f>IF(BK38&lt;N38,A38,"")</f>
        <v/>
      </c>
      <c r="BN38" s="40">
        <f>AH38+BC38</f>
        <v>88897.0499472372903</v>
      </c>
      <c r="BO38" s="40">
        <f>SUM(AR38:BB38)</f>
        <v>0</v>
      </c>
      <c r="BP38" s="40">
        <f>BN38+(-1*BO38)</f>
        <v>88897.0499472373049</v>
      </c>
      <c r="BQ38" s="40">
        <f>AI38+BH38</f>
        <v>12573.222396117515</v>
      </c>
      <c r="BR38" s="5">
        <f>IF(BK38&gt;0,BP38/BK38,0)</f>
        <v>0.0793540192932486921</v>
      </c>
    </row>
    <row r="39" spans="1:70">
      <c r="A39">
        <f>A38+1</f>
        <v>2060</v>
      </c>
      <c r="B39">
        <f>B5+(35-1)</f>
        <v>64</v>
      </c>
      <c r="C39" s="10">
        <f aca="1">IF(A39&lt;Param.FireStartjahr,0,Param.EntnahmeBetragStart*(1+Param.Inflationsrate)^(A39-Param.Startjahr))</f>
        <v>69459.6639824265003</v>
      </c>
      <c r="D39" s="40">
        <f aca="1">IF(OR($A39&lt;Param.SonstigRegelmJahrBeginn1,$A39&gt;Param.SonstigRegelmJahrEnd1),0,Param.SonstigRegelmBetragJaehrl1*(1+Param.SonstigRegelmSteig1)^(A39-Param.SonstigRegelmJahrBeginn1))</f>
        <v>0</v>
      </c>
      <c r="E39" s="40">
        <f aca="1">IF(OR($A39&lt;Param.SonstigRegelmJahrBeginn2,$A39&gt;Param.SonstigRegelmJahrEnd2),0,Param.SonstigRegelmBetragJaehrl2*(1+Param.SonstigRegelmSteig2)^($A39-Param.SonstigRegelmJahrBeginn2))</f>
        <v>-9690.2520359337359</v>
      </c>
      <c r="F39" s="40">
        <f aca="1">IF(OR($A39&lt;Param.SonstigRegelmJahrBeginn3,$A39&gt;Param.SonstigRegelmJahrEnd3),0,Param.SonstigRegelmBetragJaehrl3*(1+Param.SonstigRegelmSteig3)^($A39-Param.SonstigRegelmJahrBeginn3))</f>
        <v>0</v>
      </c>
      <c r="G39" s="40">
        <f aca="1">IF(OR($A39&lt;Param.SonstigRegelmJahrBeginn4,$A39&gt;Param.SonstigRegelmJahrEnd4),0,Param.SonstigRegelmBetragJaehrl4*(1+Param.SonstigRegelmSteig4)^($A39-Param.SonstigRegelmJahrBeginn4))</f>
        <v>0</v>
      </c>
      <c r="H39" s="40">
        <f aca="1">IF(OR($A39&lt;Param.SonstigRegelmJahrBeginn5,$A39&gt;Param.SonstigRegelmJahrEnd5),0,Param.SonstigRegelmBetragJaehrl5*(1+Param.SonstigRegelmSteig5)^($A39-Param.SonstigRegelmJahrBeginn5))</f>
        <v>0</v>
      </c>
      <c r="I39" s="40">
        <f aca="1">IF(OR($A39&lt;Param.SonstigRegelmJahrBeginn6,$A39&gt;Param.SonstigRegelmJahrEnd6),0,Param.SonstigRegelmBetragJaehrl6*(1+Param.SonstigRegelmSteig6)^($A39-Param.SonstigRegelmJahrBeginn6))</f>
        <v>0</v>
      </c>
      <c r="J39" s="40">
        <f aca="1">IF(OR($A39&lt;Param.SonstigRegelmJahrBeginn7,$A39&gt;Param.SonstigRegelmJahrEnd7),0,Param.SonstigRegelmBetragJaehrl7*(1+Param.SonstigRegelmSteig7)^($A39-Param.SonstigRegelmJahrBeginn7))</f>
        <v>0</v>
      </c>
      <c r="K39" s="40">
        <f aca="1">IF(OR($A39&lt;Param.SonstigRegelmJahrBeginn8,$A39&gt;Param.SonstigRegelmJahrEnd8),0,Param.SonstigRegelmBetragJaehrl8*(1+Param.SonstigRegelmSteig8)^($A39-Param.SonstigRegelmJahrBeginn8))</f>
        <v>0</v>
      </c>
      <c r="L39" s="40">
        <f aca="1">IF(OR($A39&lt;Param.SonstigRegelmJahrBeginn9,$A39&gt;Param.SonstigRegelmJahrEnd9),0,Param.SonstigRegelmBetragJaehrl9*(1+Param.SonstigRegelmSteig9)^($A39-Param.SonstigRegelmJahrBeginn9))</f>
        <v>0</v>
      </c>
      <c r="M39" s="40">
        <f aca="1">IF(OR($A39&lt;Param.SonstigRegelmJahrBeginn10,$A39&gt;Param.SonstigRegelmJahrEnd10),0,Param.SonstigRegelmBetragJaehrl10*(1+Param.SonstigRegelmSteig10)^($A39-Param.SonstigRegelmJahrBeginn10))</f>
        <v>0</v>
      </c>
      <c r="N39" s="10">
        <f>MAX(0,C39-SUM(D39:M39))</f>
        <v>79149.9160183602362</v>
      </c>
      <c r="O39" s="10">
        <f>IF(N39&lt;=0,SUM(D39:M39)-C39,0)</f>
        <v>0</v>
      </c>
      <c r="P39" s="10">
        <f>S39+AP39</f>
        <v>1120258.94515465596</v>
      </c>
      <c r="Q39" s="11">
        <f>IF(P39&gt;0,S39/P39,0)</f>
        <v>0.792728942751556165</v>
      </c>
      <c r="R39" s="11">
        <f>IF(P39&gt;0,AP39/P39,0)</f>
        <v>0.20727105724844046</v>
      </c>
      <c r="S39" s="10">
        <f>AL38</f>
        <v>888061.689200426801</v>
      </c>
      <c r="T39" s="40">
        <f>AM38</f>
        <v>778131.883094202029</v>
      </c>
      <c r="U39" s="40">
        <f aca="1">IF(A39&lt;Param.FireStartjahr,Param.SparrateDepotMonatl*12*(1+Param.SparrateDynamikJaehrl)^($A39-Param.Startjahr),0)</f>
        <v>0</v>
      </c>
      <c r="V39" s="40">
        <f aca="1">IF(AND(Param.SonstigEinmaligKonto1="Depot",$A39=Param.SonstigEinmaligJahr1),Param.SonstigEinmaligBetrag1,0)</f>
        <v>0</v>
      </c>
      <c r="W39" s="40">
        <f aca="1">IF(AND(Param.SonstigEinmaligKonto2="Depot",$A39=Param.SonstigEinmaligJahr2),Param.SonstigEinmaligBetrag2,0)</f>
        <v>0</v>
      </c>
      <c r="X39" s="40">
        <f aca="1">IF(AND(Param.SonstigEinmaligKonto3="Depot",$A39=Param.SonstigEinmaligJahr3),Param.SonstigEinmaligBetrag3,0)</f>
        <v>0</v>
      </c>
      <c r="Y39" s="40">
        <f aca="1">IF(AND(Param.SonstigEinmaligKonto4="Depot",$A39=Param.SonstigEinmaligJahr4),Param.SonstigEinmaligBetrag4,0)</f>
        <v>0</v>
      </c>
      <c r="Z39" s="40">
        <f aca="1">IF(AND(Param.SonstigEinmaligKonto5="Depot",$A39=Param.SonstigEinmaligJahr5),Param.SonstigEinmaligBetrag5,0)</f>
        <v>0</v>
      </c>
      <c r="AA39" s="40">
        <f aca="1">IF(AND(Param.SonstigEinmaligKonto6="Depot",$A39=Param.SonstigEinmaligJahr6),Param.SonstigEinmaligBetrag6,0)</f>
        <v>0</v>
      </c>
      <c r="AB39" s="40">
        <f aca="1">IF(AND(Param.SonstigEinmaligKonto7="Depot",$A39=Param.SonstigEinmaligJahr7),Param.SonstigEinmaligBetrag7,0)</f>
        <v>0</v>
      </c>
      <c r="AC39" s="40">
        <f aca="1">IF(AND(Param.SonstigEinmaligKonto8="Depot",$A39=Param.SonstigEinmaligJahr8),Param.SonstigEinmaligBetrag8,0)</f>
        <v>0</v>
      </c>
      <c r="AD39" s="40">
        <f aca="1">IF(AND(Param.SonstigEinmaligKonto9="Depot",$A39=Param.SonstigEinmaligJahr9),Param.SonstigEinmaligBetrag9,0)</f>
        <v>0</v>
      </c>
      <c r="AE39" s="40">
        <f aca="1">IF(AND(Param.SonstigEinmaligKonto10="Depot",$A39=Param.SonstigEinmaligJahr10),Param.SonstigEinmaligBetrag10,0)</f>
        <v>0</v>
      </c>
      <c r="AF39" s="40">
        <f aca="1">Param.SparerPauschbetrag-BF39</f>
        <v>0</v>
      </c>
      <c r="AG39" s="40">
        <f aca="1">IF(AND(A39&gt;=Param.FireStartjahr,S39&gt;0),MIN(N39*Q39,S39),0)</f>
        <v>62744.4292441092039</v>
      </c>
      <c r="AH39" s="40">
        <f aca="1">IF(AG39&lt;=0,0,IF(S39&lt;=0,0,AG39/(1-MAX(0,((T39/S39)*(1-Param.Teilfreistellung)-MIN(AF39,AG39)/AG39)*Param.KapSt))))</f>
        <v>74853.5624904778961</v>
      </c>
      <c r="AI39" s="40">
        <f>AH39-AG39</f>
        <v>12109.1332463686995</v>
      </c>
      <c r="AJ39" s="40">
        <f>T39-AH39*(T39/S39)</f>
        <v>712544.160703579313</v>
      </c>
      <c r="AK39" s="40">
        <f>S39-AH39</f>
        <v>813208.126709949109</v>
      </c>
      <c r="AL39" s="40">
        <f>FV(AO39,12,-(U39/12),-AK39,0)</f>
        <v>862000.614312514081</v>
      </c>
      <c r="AM39" s="40">
        <f>AJ39+AL39-AK39-U39</f>
        <v>761336.648306141025</v>
      </c>
      <c r="AN39" s="5">
        <f>AM39/AL39</f>
        <v>0.883220540293167744</v>
      </c>
      <c r="AO39" s="5">
        <f aca="1">(1+IF(AND(A39&gt;=Param.DepotRenditeSpezBeginn1,A39&lt;=Param.DepotRenditeSpezEnde1),Param.DepotRenditeSpezProz1,IF(AND(A39&gt;=Param.DepotRenditeSpezBeginn2,A39&lt;=Param.DepotRenditeSpezEnde2),Param.DepotRenditeSpezProz2,IF(AND(A39&gt;=Param.DepotRenditeSpezBeginn3,A39&lt;=Param.DepotRenditeSpezEnde3),Param.DepotRenditeSpezProz3,IF(AND(A39&gt;=Param.DepotRenditeSpezBeginn4,A39&lt;=Param.DepotRenditeSpezEnde4),Param.DepotRenditeSpezProz4,IF(AND(A39&gt;=Param.DepotRenditeSpezBeginn5,A39&lt;=Param.DepotRenditeSpezEnde5),Param.DepotRenditeSpezProz5,Param.DepotRenditeDefault))))))^(1/12)-1</f>
        <v>0.00486755056533993979</v>
      </c>
      <c r="AP39" s="40">
        <f>BJ38</f>
        <v>232197.255954229389</v>
      </c>
      <c r="AQ39" s="40">
        <f aca="1">IF(A39&lt;Param.FireStartjahr,Param.SparrateFestgeldMonatl*12*(1+Param.SparrateDynamikJaehrl)^($A39-Param.Startjahr),0)</f>
        <v>0</v>
      </c>
      <c r="AR39" s="40">
        <f>O39</f>
        <v>0</v>
      </c>
      <c r="AS39" s="40">
        <f aca="1">IF(AND(Param.SonstigEinmaligKonto1="Festgeld",$A39=Param.SonstigEinmaligJahr1),Param.SonstigEinmaligBetrag1,0)</f>
        <v>0</v>
      </c>
      <c r="AT39" s="40">
        <f aca="1">IF(AND(Param.SonstigEinmaligKonto2="Festgeld",$A39=Param.SonstigEinmaligJahr2),Param.SonstigEinmaligBetrag2,0)</f>
        <v>0</v>
      </c>
      <c r="AU39" s="40">
        <f aca="1">IF(AND(Param.SonstigEinmaligKonto3="Festgeld",$A39=Param.SonstigEinmaligJahr3),Param.SonstigEinmaligBetrag3,0)</f>
        <v>0</v>
      </c>
      <c r="AV39" s="40">
        <f aca="1">IF(AND(Param.SonstigEinmaligKonto4="Festgeld",$A39=Param.SonstigEinmaligJahr4),Param.SonstigEinmaligBetrag4,0)</f>
        <v>0</v>
      </c>
      <c r="AW39" s="40">
        <f aca="1">IF(AND(Param.SonstigEinmaligKonto5="Festgeld",$A39=Param.SonstigEinmaligJahr5),Param.SonstigEinmaligBetrag5,0)</f>
        <v>0</v>
      </c>
      <c r="AX39" s="40">
        <f aca="1">IF(AND(Param.SonstigEinmaligKonto6="Festgeld",$A39=Param.SonstigEinmaligJahr6),Param.SonstigEinmaligBetrag6,0)</f>
        <v>0</v>
      </c>
      <c r="AY39" s="40">
        <f aca="1">IF(AND(Param.SonstigEinmaligKonto7="Festgeld",$A39=Param.SonstigEinmaligJahr7),Param.SonstigEinmaligBetrag7,0)</f>
        <v>0</v>
      </c>
      <c r="AZ39" s="40">
        <f aca="1">IF(AND(Param.SonstigEinmaligKonto8="Festgeld",$A39=Param.SonstigEinmaligJahr8),Param.SonstigEinmaligBetrag8,0)</f>
        <v>0</v>
      </c>
      <c r="BA39" s="40">
        <f aca="1">IF(AND(Param.SonstigEinmaligKonto9="Festgeld",$A39=Param.SonstigEinmaligJahr9),Param.SonstigEinmaligBetrag9,0)</f>
        <v>0</v>
      </c>
      <c r="BB39" s="40">
        <f aca="1">IF(AND(Param.SonstigEinmaligKonto10="Festgeld",$A39=Param.SonstigEinmaligJahr10),Param.SonstigEinmaligBetrag10,0)</f>
        <v>0</v>
      </c>
      <c r="BC39" s="40">
        <f aca="1">IF(AND(A39&gt;=Param.FireStartjahr,AP39&gt;0),MIN(N39*R39,AP39),0)</f>
        <v>16405.486774250774</v>
      </c>
      <c r="BD39" s="5">
        <f aca="1">Param.FestgeldZinssatz</f>
        <v>0.02</v>
      </c>
      <c r="BE39" s="40">
        <f>(AP39+AQ39-BC39)*BD39</f>
        <v>4315.83538359956037</v>
      </c>
      <c r="BF39" s="40">
        <f aca="1">IF(BE39&gt;Param.SparerPauschbetrag,Param.SparerPauschbetrag,BE39)</f>
        <v>1000</v>
      </c>
      <c r="BG39" s="40">
        <f>BE39-BF39</f>
        <v>3315.83538359956037</v>
      </c>
      <c r="BH39" s="40">
        <f aca="1">BG39*Param.KapSt</f>
        <v>874.551582424383923</v>
      </c>
      <c r="BI39" s="40">
        <f>BE39-BH39</f>
        <v>3441.28380117517645</v>
      </c>
      <c r="BJ39" s="63">
        <f>AP39+SUM(AQ39:BB39)-BC39+BI39</f>
        <v>219233.052981153189</v>
      </c>
      <c r="BK39" s="40">
        <f>AL39+BJ39</f>
        <v>1081233.66729366686</v>
      </c>
      <c r="BL39" s="40">
        <f aca="1">BK39/(1+Param.Inflationsrate)^(A39-Param.Startjahr)</f>
        <v>466990.597982402542</v>
      </c>
      <c r="BM39" s="52" t="str">
        <f>IF(BK39&lt;N39,A39,"")</f>
        <v/>
      </c>
      <c r="BN39" s="40">
        <f>AH39+BC39</f>
        <v>91259.0492647287028</v>
      </c>
      <c r="BO39" s="40">
        <f>SUM(AR39:BB39)</f>
        <v>0</v>
      </c>
      <c r="BP39" s="40">
        <f>BN39+(-1*BO39)</f>
        <v>91259.0492647287028</v>
      </c>
      <c r="BQ39" s="40">
        <f>AI39+BH39</f>
        <v>12983.6848287930843</v>
      </c>
      <c r="BR39" s="5">
        <f>IF(BK39&gt;0,BP39/BK39,0)</f>
        <v>0.0844027077820748062</v>
      </c>
    </row>
    <row r="40" spans="1:70">
      <c r="A40">
        <f>A39+1</f>
        <v>2061</v>
      </c>
      <c r="B40">
        <f>B5+(36-1)</f>
        <v>65</v>
      </c>
      <c r="C40" s="10">
        <f aca="1">IF(A40&lt;Param.FireStartjahr,0,Param.EntnahmeBetragStart*(1+Param.Inflationsrate)^(A40-Param.Startjahr))</f>
        <v>71196.155581987201</v>
      </c>
      <c r="D40" s="40">
        <f aca="1">IF(OR($A40&lt;Param.SonstigRegelmJahrBeginn1,$A40&gt;Param.SonstigRegelmJahrEnd1),0,Param.SonstigRegelmBetragJaehrl1*(1+Param.SonstigRegelmSteig1)^(A40-Param.SonstigRegelmJahrBeginn1))</f>
        <v>0</v>
      </c>
      <c r="E40" s="40">
        <f aca="1">IF(OR($A40&lt;Param.SonstigRegelmJahrBeginn2,$A40&gt;Param.SonstigRegelmJahrEnd2),0,Param.SonstigRegelmBetragJaehrl2*(1+Param.SonstigRegelmSteig2)^($A40-Param.SonstigRegelmJahrBeginn2))</f>
        <v>-9884.05707665239242</v>
      </c>
      <c r="F40" s="40">
        <f aca="1">IF(OR($A40&lt;Param.SonstigRegelmJahrBeginn3,$A40&gt;Param.SonstigRegelmJahrEnd3),0,Param.SonstigRegelmBetragJaehrl3*(1+Param.SonstigRegelmSteig3)^($A40-Param.SonstigRegelmJahrBeginn3))</f>
        <v>0</v>
      </c>
      <c r="G40" s="40">
        <f aca="1">IF(OR($A40&lt;Param.SonstigRegelmJahrBeginn4,$A40&gt;Param.SonstigRegelmJahrEnd4),0,Param.SonstigRegelmBetragJaehrl4*(1+Param.SonstigRegelmSteig4)^($A40-Param.SonstigRegelmJahrBeginn4))</f>
        <v>0</v>
      </c>
      <c r="H40" s="40">
        <f aca="1">IF(OR($A40&lt;Param.SonstigRegelmJahrBeginn5,$A40&gt;Param.SonstigRegelmJahrEnd5),0,Param.SonstigRegelmBetragJaehrl5*(1+Param.SonstigRegelmSteig5)^($A40-Param.SonstigRegelmJahrBeginn5))</f>
        <v>0</v>
      </c>
      <c r="I40" s="40">
        <f aca="1">IF(OR($A40&lt;Param.SonstigRegelmJahrBeginn6,$A40&gt;Param.SonstigRegelmJahrEnd6),0,Param.SonstigRegelmBetragJaehrl6*(1+Param.SonstigRegelmSteig6)^($A40-Param.SonstigRegelmJahrBeginn6))</f>
        <v>0</v>
      </c>
      <c r="J40" s="40">
        <f aca="1">IF(OR($A40&lt;Param.SonstigRegelmJahrBeginn7,$A40&gt;Param.SonstigRegelmJahrEnd7),0,Param.SonstigRegelmBetragJaehrl7*(1+Param.SonstigRegelmSteig7)^($A40-Param.SonstigRegelmJahrBeginn7))</f>
        <v>0</v>
      </c>
      <c r="K40" s="40">
        <f aca="1">IF(OR($A40&lt;Param.SonstigRegelmJahrBeginn8,$A40&gt;Param.SonstigRegelmJahrEnd8),0,Param.SonstigRegelmBetragJaehrl8*(1+Param.SonstigRegelmSteig8)^($A40-Param.SonstigRegelmJahrBeginn8))</f>
        <v>0</v>
      </c>
      <c r="L40" s="40">
        <f aca="1">IF(OR($A40&lt;Param.SonstigRegelmJahrBeginn9,$A40&gt;Param.SonstigRegelmJahrEnd9),0,Param.SonstigRegelmBetragJaehrl9*(1+Param.SonstigRegelmSteig9)^($A40-Param.SonstigRegelmJahrBeginn9))</f>
        <v>0</v>
      </c>
      <c r="M40" s="40">
        <f aca="1">IF(OR($A40&lt;Param.SonstigRegelmJahrBeginn10,$A40&gt;Param.SonstigRegelmJahrEnd10),0,Param.SonstigRegelmBetragJaehrl10*(1+Param.SonstigRegelmSteig10)^($A40-Param.SonstigRegelmJahrBeginn10))</f>
        <v>0</v>
      </c>
      <c r="N40" s="10">
        <f>MAX(0,C40-SUM(D40:M40))</f>
        <v>81080.2126586395898</v>
      </c>
      <c r="O40" s="10">
        <f>IF(N40&lt;=0,SUM(D40:M40)-C40,0)</f>
        <v>0</v>
      </c>
      <c r="P40" s="10">
        <f>S40+AP40</f>
        <v>1081233.66729366686</v>
      </c>
      <c r="Q40" s="11">
        <f>IF(P40&gt;0,S40/P40,0)</f>
        <v>0.79723804427039644</v>
      </c>
      <c r="R40" s="11">
        <f>IF(P40&gt;0,AP40/P40,0)</f>
        <v>0.202761955729600807</v>
      </c>
      <c r="S40" s="10">
        <f>AL39</f>
        <v>862000.614312514081</v>
      </c>
      <c r="T40" s="40">
        <f>AM39</f>
        <v>761336.648306141025</v>
      </c>
      <c r="U40" s="40">
        <f aca="1">IF(A40&lt;Param.FireStartjahr,Param.SparrateDepotMonatl*12*(1+Param.SparrateDynamikJaehrl)^($A40-Param.Startjahr),0)</f>
        <v>0</v>
      </c>
      <c r="V40" s="40">
        <f aca="1">IF(AND(Param.SonstigEinmaligKonto1="Depot",$A40=Param.SonstigEinmaligJahr1),Param.SonstigEinmaligBetrag1,0)</f>
        <v>0</v>
      </c>
      <c r="W40" s="40">
        <f aca="1">IF(AND(Param.SonstigEinmaligKonto2="Depot",$A40=Param.SonstigEinmaligJahr2),Param.SonstigEinmaligBetrag2,0)</f>
        <v>0</v>
      </c>
      <c r="X40" s="40">
        <f aca="1">IF(AND(Param.SonstigEinmaligKonto3="Depot",$A40=Param.SonstigEinmaligJahr3),Param.SonstigEinmaligBetrag3,0)</f>
        <v>0</v>
      </c>
      <c r="Y40" s="40">
        <f aca="1">IF(AND(Param.SonstigEinmaligKonto4="Depot",$A40=Param.SonstigEinmaligJahr4),Param.SonstigEinmaligBetrag4,0)</f>
        <v>0</v>
      </c>
      <c r="Z40" s="40">
        <f aca="1">IF(AND(Param.SonstigEinmaligKonto5="Depot",$A40=Param.SonstigEinmaligJahr5),Param.SonstigEinmaligBetrag5,0)</f>
        <v>0</v>
      </c>
      <c r="AA40" s="40">
        <f aca="1">IF(AND(Param.SonstigEinmaligKonto6="Depot",$A40=Param.SonstigEinmaligJahr6),Param.SonstigEinmaligBetrag6,0)</f>
        <v>0</v>
      </c>
      <c r="AB40" s="40">
        <f aca="1">IF(AND(Param.SonstigEinmaligKonto7="Depot",$A40=Param.SonstigEinmaligJahr7),Param.SonstigEinmaligBetrag7,0)</f>
        <v>0</v>
      </c>
      <c r="AC40" s="40">
        <f aca="1">IF(AND(Param.SonstigEinmaligKonto8="Depot",$A40=Param.SonstigEinmaligJahr8),Param.SonstigEinmaligBetrag8,0)</f>
        <v>0</v>
      </c>
      <c r="AD40" s="40">
        <f aca="1">IF(AND(Param.SonstigEinmaligKonto9="Depot",$A40=Param.SonstigEinmaligJahr9),Param.SonstigEinmaligBetrag9,0)</f>
        <v>0</v>
      </c>
      <c r="AE40" s="40">
        <f aca="1">IF(AND(Param.SonstigEinmaligKonto10="Depot",$A40=Param.SonstigEinmaligJahr10),Param.SonstigEinmaligBetrag10,0)</f>
        <v>0</v>
      </c>
      <c r="AF40" s="40">
        <f aca="1">Param.SparerPauschbetrag-BF40</f>
        <v>0</v>
      </c>
      <c r="AG40" s="40">
        <f aca="1">IF(AND(A40&gt;=Param.FireStartjahr,S40&gt;0),MIN(N40*Q40,S40),0)</f>
        <v>64640.2301690017266</v>
      </c>
      <c r="AH40" s="40">
        <f aca="1">IF(AG40&lt;=0,0,IF(S40&lt;=0,0,AG40/(1-MAX(0,((T40/S40)*(1-Param.Teilfreistellung)-MIN(AF40,AG40)/AG40)*Param.KapSt))))</f>
        <v>77234.4312004969979</v>
      </c>
      <c r="AI40" s="40">
        <f>AH40-AG40</f>
        <v>12594.2010314953004</v>
      </c>
      <c r="AJ40" s="40">
        <f>T40-AH40*(T40/S40)</f>
        <v>693121.612252002582</v>
      </c>
      <c r="AK40" s="40">
        <f>S40-AH40</f>
        <v>784766.183112016995</v>
      </c>
      <c r="AL40" s="40">
        <f>FV(AO40,12,-(U40/12),-AK40,0)</f>
        <v>831852.154098707251</v>
      </c>
      <c r="AM40" s="40">
        <f>AJ40+AL40-AK40-U40</f>
        <v>740207.583238692954</v>
      </c>
      <c r="AN40" s="5">
        <f>AM40/AL40</f>
        <v>0.889830698389777197</v>
      </c>
      <c r="AO40" s="5">
        <f aca="1">(1+IF(AND(A40&gt;=Param.DepotRenditeSpezBeginn1,A40&lt;=Param.DepotRenditeSpezEnde1),Param.DepotRenditeSpezProz1,IF(AND(A40&gt;=Param.DepotRenditeSpezBeginn2,A40&lt;=Param.DepotRenditeSpezEnde2),Param.DepotRenditeSpezProz2,IF(AND(A40&gt;=Param.DepotRenditeSpezBeginn3,A40&lt;=Param.DepotRenditeSpezEnde3),Param.DepotRenditeSpezProz3,IF(AND(A40&gt;=Param.DepotRenditeSpezBeginn4,A40&lt;=Param.DepotRenditeSpezEnde4),Param.DepotRenditeSpezProz4,IF(AND(A40&gt;=Param.DepotRenditeSpezBeginn5,A40&lt;=Param.DepotRenditeSpezEnde5),Param.DepotRenditeSpezProz5,Param.DepotRenditeDefault))))))^(1/12)-1</f>
        <v>0.00486755056533993979</v>
      </c>
      <c r="AP40" s="40">
        <f>BJ39</f>
        <v>219233.052981153189</v>
      </c>
      <c r="AQ40" s="40">
        <f aca="1">IF(A40&lt;Param.FireStartjahr,Param.SparrateFestgeldMonatl*12*(1+Param.SparrateDynamikJaehrl)^($A40-Param.Startjahr),0)</f>
        <v>0</v>
      </c>
      <c r="AR40" s="40">
        <f>O40</f>
        <v>0</v>
      </c>
      <c r="AS40" s="40">
        <f aca="1">IF(AND(Param.SonstigEinmaligKonto1="Festgeld",$A40=Param.SonstigEinmaligJahr1),Param.SonstigEinmaligBetrag1,0)</f>
        <v>0</v>
      </c>
      <c r="AT40" s="40">
        <f aca="1">IF(AND(Param.SonstigEinmaligKonto2="Festgeld",$A40=Param.SonstigEinmaligJahr2),Param.SonstigEinmaligBetrag2,0)</f>
        <v>0</v>
      </c>
      <c r="AU40" s="40">
        <f aca="1">IF(AND(Param.SonstigEinmaligKonto3="Festgeld",$A40=Param.SonstigEinmaligJahr3),Param.SonstigEinmaligBetrag3,0)</f>
        <v>0</v>
      </c>
      <c r="AV40" s="40">
        <f aca="1">IF(AND(Param.SonstigEinmaligKonto4="Festgeld",$A40=Param.SonstigEinmaligJahr4),Param.SonstigEinmaligBetrag4,0)</f>
        <v>0</v>
      </c>
      <c r="AW40" s="40">
        <f aca="1">IF(AND(Param.SonstigEinmaligKonto5="Festgeld",$A40=Param.SonstigEinmaligJahr5),Param.SonstigEinmaligBetrag5,0)</f>
        <v>0</v>
      </c>
      <c r="AX40" s="40">
        <f aca="1">IF(AND(Param.SonstigEinmaligKonto6="Festgeld",$A40=Param.SonstigEinmaligJahr6),Param.SonstigEinmaligBetrag6,0)</f>
        <v>0</v>
      </c>
      <c r="AY40" s="40">
        <f aca="1">IF(AND(Param.SonstigEinmaligKonto7="Festgeld",$A40=Param.SonstigEinmaligJahr7),Param.SonstigEinmaligBetrag7,0)</f>
        <v>0</v>
      </c>
      <c r="AZ40" s="40">
        <f aca="1">IF(AND(Param.SonstigEinmaligKonto8="Festgeld",$A40=Param.SonstigEinmaligJahr8),Param.SonstigEinmaligBetrag8,0)</f>
        <v>0</v>
      </c>
      <c r="BA40" s="40">
        <f aca="1">IF(AND(Param.SonstigEinmaligKonto9="Festgeld",$A40=Param.SonstigEinmaligJahr9),Param.SonstigEinmaligBetrag9,0)</f>
        <v>0</v>
      </c>
      <c r="BB40" s="40">
        <f aca="1">IF(AND(Param.SonstigEinmaligKonto10="Festgeld",$A40=Param.SonstigEinmaligJahr10),Param.SonstigEinmaligBetrag10,0)</f>
        <v>0</v>
      </c>
      <c r="BC40" s="40">
        <f aca="1">IF(AND(A40&gt;=Param.FireStartjahr,AP40&gt;0),MIN(N40*R40,AP40),0)</f>
        <v>16439.9824896377177</v>
      </c>
      <c r="BD40" s="5">
        <f aca="1">Param.FestgeldZinssatz</f>
        <v>0.02</v>
      </c>
      <c r="BE40" s="40">
        <f>(AP40+AQ40-BC40)*BD40</f>
        <v>4055.86140983030054</v>
      </c>
      <c r="BF40" s="40">
        <f aca="1">IF(BE40&gt;Param.SparerPauschbetrag,Param.SparerPauschbetrag,BE40)</f>
        <v>1000</v>
      </c>
      <c r="BG40" s="40">
        <f>BE40-BF40</f>
        <v>3055.86140983030009</v>
      </c>
      <c r="BH40" s="40">
        <f aca="1">BG40*Param.KapSt</f>
        <v>805.983446842741614</v>
      </c>
      <c r="BI40" s="40">
        <f>BE40-BH40</f>
        <v>3249.87796298755802</v>
      </c>
      <c r="BJ40" s="63">
        <f>AP40+SUM(AQ40:BB40)-BC40+BI40</f>
        <v>206042.948454502563</v>
      </c>
      <c r="BK40" s="40">
        <f>AL40+BJ40</f>
        <v>1037895.10255320999</v>
      </c>
      <c r="BL40" s="40">
        <f aca="1">BK40/(1+Param.Inflationsrate)^(A40-Param.Startjahr)</f>
        <v>437338.966157240036</v>
      </c>
      <c r="BM40" s="52" t="str">
        <f>IF(BK40&lt;N40,A40,"")</f>
        <v/>
      </c>
      <c r="BN40" s="40">
        <f>AH40+BC40</f>
        <v>93674.4136901346938</v>
      </c>
      <c r="BO40" s="40">
        <f>SUM(AR40:BB40)</f>
        <v>0</v>
      </c>
      <c r="BP40" s="40">
        <f>BN40+(-1*BO40)</f>
        <v>93674.4136901346938</v>
      </c>
      <c r="BQ40" s="40">
        <f>AI40+BH40</f>
        <v>13400.184478338042</v>
      </c>
      <c r="BR40" s="5">
        <f>IF(BK40&gt;0,BP40/BK40,0)</f>
        <v>0.0902542207393567253</v>
      </c>
    </row>
    <row r="41" spans="1:70">
      <c r="A41">
        <f>A40+1</f>
        <v>2062</v>
      </c>
      <c r="B41">
        <f>B5+(37-1)</f>
        <v>66</v>
      </c>
      <c r="C41" s="10">
        <f aca="1">IF(A41&lt;Param.FireStartjahr,0,Param.EntnahmeBetragStart*(1+Param.Inflationsrate)^(A41-Param.Startjahr))</f>
        <v>72976.0594715367042</v>
      </c>
      <c r="D41" s="40">
        <f aca="1">IF(OR($A41&lt;Param.SonstigRegelmJahrBeginn1,$A41&gt;Param.SonstigRegelmJahrEnd1),0,Param.SonstigRegelmBetragJaehrl1*(1+Param.SonstigRegelmSteig1)^(A41-Param.SonstigRegelmJahrBeginn1))</f>
        <v>0</v>
      </c>
      <c r="E41" s="40">
        <f aca="1">IF(OR($A41&lt;Param.SonstigRegelmJahrBeginn2,$A41&gt;Param.SonstigRegelmJahrEnd2),0,Param.SonstigRegelmBetragJaehrl2*(1+Param.SonstigRegelmSteig2)^($A41-Param.SonstigRegelmJahrBeginn2))</f>
        <v>-10081.7382181854955</v>
      </c>
      <c r="F41" s="40">
        <f aca="1">IF(OR($A41&lt;Param.SonstigRegelmJahrBeginn3,$A41&gt;Param.SonstigRegelmJahrEnd3),0,Param.SonstigRegelmBetragJaehrl3*(1+Param.SonstigRegelmSteig3)^($A41-Param.SonstigRegelmJahrBeginn3))</f>
        <v>0</v>
      </c>
      <c r="G41" s="40">
        <f aca="1">IF(OR($A41&lt;Param.SonstigRegelmJahrBeginn4,$A41&gt;Param.SonstigRegelmJahrEnd4),0,Param.SonstigRegelmBetragJaehrl4*(1+Param.SonstigRegelmSteig4)^($A41-Param.SonstigRegelmJahrBeginn4))</f>
        <v>0</v>
      </c>
      <c r="H41" s="40">
        <f aca="1">IF(OR($A41&lt;Param.SonstigRegelmJahrBeginn5,$A41&gt;Param.SonstigRegelmJahrEnd5),0,Param.SonstigRegelmBetragJaehrl5*(1+Param.SonstigRegelmSteig5)^($A41-Param.SonstigRegelmJahrBeginn5))</f>
        <v>0</v>
      </c>
      <c r="I41" s="40">
        <f aca="1">IF(OR($A41&lt;Param.SonstigRegelmJahrBeginn6,$A41&gt;Param.SonstigRegelmJahrEnd6),0,Param.SonstigRegelmBetragJaehrl6*(1+Param.SonstigRegelmSteig6)^($A41-Param.SonstigRegelmJahrBeginn6))</f>
        <v>0</v>
      </c>
      <c r="J41" s="40">
        <f aca="1">IF(OR($A41&lt;Param.SonstigRegelmJahrBeginn7,$A41&gt;Param.SonstigRegelmJahrEnd7),0,Param.SonstigRegelmBetragJaehrl7*(1+Param.SonstigRegelmSteig7)^($A41-Param.SonstigRegelmJahrBeginn7))</f>
        <v>0</v>
      </c>
      <c r="K41" s="40">
        <f aca="1">IF(OR($A41&lt;Param.SonstigRegelmJahrBeginn8,$A41&gt;Param.SonstigRegelmJahrEnd8),0,Param.SonstigRegelmBetragJaehrl8*(1+Param.SonstigRegelmSteig8)^($A41-Param.SonstigRegelmJahrBeginn8))</f>
        <v>0</v>
      </c>
      <c r="L41" s="40">
        <f aca="1">IF(OR($A41&lt;Param.SonstigRegelmJahrBeginn9,$A41&gt;Param.SonstigRegelmJahrEnd9),0,Param.SonstigRegelmBetragJaehrl9*(1+Param.SonstigRegelmSteig9)^($A41-Param.SonstigRegelmJahrBeginn9))</f>
        <v>0</v>
      </c>
      <c r="M41" s="40">
        <f aca="1">IF(OR($A41&lt;Param.SonstigRegelmJahrBeginn10,$A41&gt;Param.SonstigRegelmJahrEnd10),0,Param.SonstigRegelmBetragJaehrl10*(1+Param.SonstigRegelmSteig10)^($A41-Param.SonstigRegelmJahrBeginn10))</f>
        <v>0</v>
      </c>
      <c r="N41" s="10">
        <f>MAX(0,C41-SUM(D41:M41))</f>
        <v>83057.7976897222106</v>
      </c>
      <c r="O41" s="10">
        <f>IF(N41&lt;=0,SUM(D41:M41)-C41,0)</f>
        <v>0</v>
      </c>
      <c r="P41" s="10">
        <f>S41+AP41</f>
        <v>1037895.10255320999</v>
      </c>
      <c r="Q41" s="11">
        <f>IF(P41&gt;0,S41/P41,0)</f>
        <v>0.801479987767897128</v>
      </c>
      <c r="R41" s="11">
        <f>IF(P41&gt;0,AP41/P41,0)</f>
        <v>0.198520012232102943</v>
      </c>
      <c r="S41" s="10">
        <f>AL40</f>
        <v>831852.154098707251</v>
      </c>
      <c r="T41" s="40">
        <f>AM40</f>
        <v>740207.583238692954</v>
      </c>
      <c r="U41" s="40">
        <f aca="1">IF(A41&lt;Param.FireStartjahr,Param.SparrateDepotMonatl*12*(1+Param.SparrateDynamikJaehrl)^($A41-Param.Startjahr),0)</f>
        <v>0</v>
      </c>
      <c r="V41" s="40">
        <f aca="1">IF(AND(Param.SonstigEinmaligKonto1="Depot",$A41=Param.SonstigEinmaligJahr1),Param.SonstigEinmaligBetrag1,0)</f>
        <v>0</v>
      </c>
      <c r="W41" s="40">
        <f aca="1">IF(AND(Param.SonstigEinmaligKonto2="Depot",$A41=Param.SonstigEinmaligJahr2),Param.SonstigEinmaligBetrag2,0)</f>
        <v>0</v>
      </c>
      <c r="X41" s="40">
        <f aca="1">IF(AND(Param.SonstigEinmaligKonto3="Depot",$A41=Param.SonstigEinmaligJahr3),Param.SonstigEinmaligBetrag3,0)</f>
        <v>0</v>
      </c>
      <c r="Y41" s="40">
        <f aca="1">IF(AND(Param.SonstigEinmaligKonto4="Depot",$A41=Param.SonstigEinmaligJahr4),Param.SonstigEinmaligBetrag4,0)</f>
        <v>0</v>
      </c>
      <c r="Z41" s="40">
        <f aca="1">IF(AND(Param.SonstigEinmaligKonto5="Depot",$A41=Param.SonstigEinmaligJahr5),Param.SonstigEinmaligBetrag5,0)</f>
        <v>0</v>
      </c>
      <c r="AA41" s="40">
        <f aca="1">IF(AND(Param.SonstigEinmaligKonto6="Depot",$A41=Param.SonstigEinmaligJahr6),Param.SonstigEinmaligBetrag6,0)</f>
        <v>0</v>
      </c>
      <c r="AB41" s="40">
        <f aca="1">IF(AND(Param.SonstigEinmaligKonto7="Depot",$A41=Param.SonstigEinmaligJahr7),Param.SonstigEinmaligBetrag7,0)</f>
        <v>0</v>
      </c>
      <c r="AC41" s="40">
        <f aca="1">IF(AND(Param.SonstigEinmaligKonto8="Depot",$A41=Param.SonstigEinmaligJahr8),Param.SonstigEinmaligBetrag8,0)</f>
        <v>0</v>
      </c>
      <c r="AD41" s="40">
        <f aca="1">IF(AND(Param.SonstigEinmaligKonto9="Depot",$A41=Param.SonstigEinmaligJahr9),Param.SonstigEinmaligBetrag9,0)</f>
        <v>0</v>
      </c>
      <c r="AE41" s="40">
        <f aca="1">IF(AND(Param.SonstigEinmaligKonto10="Depot",$A41=Param.SonstigEinmaligJahr10),Param.SonstigEinmaligBetrag10,0)</f>
        <v>0</v>
      </c>
      <c r="AF41" s="40">
        <f aca="1">Param.SparerPauschbetrag-BF41</f>
        <v>0</v>
      </c>
      <c r="AG41" s="40">
        <f aca="1">IF(AND(A41&gt;=Param.FireStartjahr,S41&gt;0),MIN(N41*Q41,S41),0)</f>
        <v>66569.1626763870008</v>
      </c>
      <c r="AH41" s="40">
        <f aca="1">IF(AG41&lt;=0,0,IF(S41&lt;=0,0,AG41/(1-MAX(0,((T41/S41)*(1-Param.Teilfreistellung)-MIN(AF41,AG41)/AG41)*Param.KapSt))))</f>
        <v>79655.3395525070518</v>
      </c>
      <c r="AI41" s="40">
        <f>AH41-AG41</f>
        <v>13086.1768761200947</v>
      </c>
      <c r="AJ41" s="40">
        <f>T41-AH41*(T41/S41)</f>
        <v>669327.816814210732</v>
      </c>
      <c r="AK41" s="40">
        <f>S41-AH41</f>
        <v>752196.814546199981</v>
      </c>
      <c r="AL41" s="40">
        <f>FV(AO41,12,-(U41/12),-AK41,0)</f>
        <v>797328.623418942443</v>
      </c>
      <c r="AM41" s="40">
        <f>AJ41+AL41-AK41-U41</f>
        <v>714459.62568695005</v>
      </c>
      <c r="AN41" s="5">
        <f>AM41/AL41</f>
        <v>0.896066696594120771</v>
      </c>
      <c r="AO41" s="5">
        <f aca="1">(1+IF(AND(A41&gt;=Param.DepotRenditeSpezBeginn1,A41&lt;=Param.DepotRenditeSpezEnde1),Param.DepotRenditeSpezProz1,IF(AND(A41&gt;=Param.DepotRenditeSpezBeginn2,A41&lt;=Param.DepotRenditeSpezEnde2),Param.DepotRenditeSpezProz2,IF(AND(A41&gt;=Param.DepotRenditeSpezBeginn3,A41&lt;=Param.DepotRenditeSpezEnde3),Param.DepotRenditeSpezProz3,IF(AND(A41&gt;=Param.DepotRenditeSpezBeginn4,A41&lt;=Param.DepotRenditeSpezEnde4),Param.DepotRenditeSpezProz4,IF(AND(A41&gt;=Param.DepotRenditeSpezBeginn5,A41&lt;=Param.DepotRenditeSpezEnde5),Param.DepotRenditeSpezProz5,Param.DepotRenditeDefault))))))^(1/12)-1</f>
        <v>0.00486755056533993979</v>
      </c>
      <c r="AP41" s="40">
        <f>BJ40</f>
        <v>206042.948454502563</v>
      </c>
      <c r="AQ41" s="40">
        <f aca="1">IF(A41&lt;Param.FireStartjahr,Param.SparrateFestgeldMonatl*12*(1+Param.SparrateDynamikJaehrl)^($A41-Param.Startjahr),0)</f>
        <v>0</v>
      </c>
      <c r="AR41" s="40">
        <f>O41</f>
        <v>0</v>
      </c>
      <c r="AS41" s="40">
        <f aca="1">IF(AND(Param.SonstigEinmaligKonto1="Festgeld",$A41=Param.SonstigEinmaligJahr1),Param.SonstigEinmaligBetrag1,0)</f>
        <v>0</v>
      </c>
      <c r="AT41" s="40">
        <f aca="1">IF(AND(Param.SonstigEinmaligKonto2="Festgeld",$A41=Param.SonstigEinmaligJahr2),Param.SonstigEinmaligBetrag2,0)</f>
        <v>0</v>
      </c>
      <c r="AU41" s="40">
        <f aca="1">IF(AND(Param.SonstigEinmaligKonto3="Festgeld",$A41=Param.SonstigEinmaligJahr3),Param.SonstigEinmaligBetrag3,0)</f>
        <v>0</v>
      </c>
      <c r="AV41" s="40">
        <f aca="1">IF(AND(Param.SonstigEinmaligKonto4="Festgeld",$A41=Param.SonstigEinmaligJahr4),Param.SonstigEinmaligBetrag4,0)</f>
        <v>0</v>
      </c>
      <c r="AW41" s="40">
        <f aca="1">IF(AND(Param.SonstigEinmaligKonto5="Festgeld",$A41=Param.SonstigEinmaligJahr5),Param.SonstigEinmaligBetrag5,0)</f>
        <v>0</v>
      </c>
      <c r="AX41" s="40">
        <f aca="1">IF(AND(Param.SonstigEinmaligKonto6="Festgeld",$A41=Param.SonstigEinmaligJahr6),Param.SonstigEinmaligBetrag6,0)</f>
        <v>0</v>
      </c>
      <c r="AY41" s="40">
        <f aca="1">IF(AND(Param.SonstigEinmaligKonto7="Festgeld",$A41=Param.SonstigEinmaligJahr7),Param.SonstigEinmaligBetrag7,0)</f>
        <v>0</v>
      </c>
      <c r="AZ41" s="40">
        <f aca="1">IF(AND(Param.SonstigEinmaligKonto8="Festgeld",$A41=Param.SonstigEinmaligJahr8),Param.SonstigEinmaligBetrag8,0)</f>
        <v>0</v>
      </c>
      <c r="BA41" s="40">
        <f aca="1">IF(AND(Param.SonstigEinmaligKonto9="Festgeld",$A41=Param.SonstigEinmaligJahr9),Param.SonstigEinmaligBetrag9,0)</f>
        <v>0</v>
      </c>
      <c r="BB41" s="40">
        <f aca="1">IF(AND(Param.SonstigEinmaligKonto10="Festgeld",$A41=Param.SonstigEinmaligJahr10),Param.SonstigEinmaligBetrag10,0)</f>
        <v>0</v>
      </c>
      <c r="BC41" s="40">
        <f aca="1">IF(AND(A41&gt;=Param.FireStartjahr,AP41&gt;0),MIN(N41*R41,AP41),0)</f>
        <v>16488.635013335188</v>
      </c>
      <c r="BD41" s="5">
        <f aca="1">Param.FestgeldZinssatz</f>
        <v>0.02</v>
      </c>
      <c r="BE41" s="40">
        <f>(AP41+AQ41-BC41)*BD41</f>
        <v>3791.08626882336011</v>
      </c>
      <c r="BF41" s="40">
        <f aca="1">IF(BE41&gt;Param.SparerPauschbetrag,Param.SparerPauschbetrag,BE41)</f>
        <v>1000</v>
      </c>
      <c r="BG41" s="40">
        <f>BE41-BF41</f>
        <v>2791.08626882336011</v>
      </c>
      <c r="BH41" s="40">
        <f aca="1">BG41*Param.KapSt</f>
        <v>736.149003402161156</v>
      </c>
      <c r="BI41" s="40">
        <f>BE41-BH41</f>
        <v>3054.9372654211993</v>
      </c>
      <c r="BJ41" s="63">
        <f>AP41+SUM(AQ41:BB41)-BC41+BI41</f>
        <v>192609.250706589199</v>
      </c>
      <c r="BK41" s="40">
        <f>AL41+BJ41</f>
        <v>989937.874125531991</v>
      </c>
      <c r="BL41" s="40">
        <f aca="1">BK41/(1+Param.Inflationsrate)^(A41-Param.Startjahr)</f>
        <v>406957.246511087695</v>
      </c>
      <c r="BM41" s="52" t="str">
        <f>IF(BK41&lt;N41,A41,"")</f>
        <v/>
      </c>
      <c r="BN41" s="40">
        <f>AH41+BC41</f>
        <v>96143.9745658422908</v>
      </c>
      <c r="BO41" s="40">
        <f>SUM(AR41:BB41)</f>
        <v>0</v>
      </c>
      <c r="BP41" s="40">
        <f>BN41+(-1*BO41)</f>
        <v>96143.9745658423053</v>
      </c>
      <c r="BQ41" s="40">
        <f>AI41+BH41</f>
        <v>13822.3258795222609</v>
      </c>
      <c r="BR41" s="5">
        <f>IF(BK41&gt;0,BP41/BK41,0)</f>
        <v>0.0971212205117131333</v>
      </c>
    </row>
    <row r="42" spans="1:70">
      <c r="A42">
        <f>A41+1</f>
        <v>2063</v>
      </c>
      <c r="B42">
        <f>B5+(38-1)</f>
        <v>67</v>
      </c>
      <c r="C42" s="10">
        <f aca="1">IF(A42&lt;Param.FireStartjahr,0,Param.EntnahmeBetragStart*(1+Param.Inflationsrate)^(A42-Param.Startjahr))</f>
        <v>74800.4609583252022</v>
      </c>
      <c r="D42" s="40">
        <f aca="1">IF(OR($A42&lt;Param.SonstigRegelmJahrBeginn1,$A42&gt;Param.SonstigRegelmJahrEnd1),0,Param.SonstigRegelmBetragJaehrl1*(1+Param.SonstigRegelmSteig1)^(A42-Param.SonstigRegelmJahrBeginn1))</f>
        <v>18000</v>
      </c>
      <c r="E42" s="40">
        <f aca="1">IF(OR($A42&lt;Param.SonstigRegelmJahrBeginn2,$A42&gt;Param.SonstigRegelmJahrEnd2),0,Param.SonstigRegelmBetragJaehrl2*(1+Param.SonstigRegelmSteig2)^($A42-Param.SonstigRegelmJahrBeginn2))</f>
        <v>0</v>
      </c>
      <c r="F42" s="40">
        <f aca="1">IF(OR($A42&lt;Param.SonstigRegelmJahrBeginn3,$A42&gt;Param.SonstigRegelmJahrEnd3),0,Param.SonstigRegelmBetragJaehrl3*(1+Param.SonstigRegelmSteig3)^($A42-Param.SonstigRegelmJahrBeginn3))</f>
        <v>0</v>
      </c>
      <c r="G42" s="40">
        <f aca="1">IF(OR($A42&lt;Param.SonstigRegelmJahrBeginn4,$A42&gt;Param.SonstigRegelmJahrEnd4),0,Param.SonstigRegelmBetragJaehrl4*(1+Param.SonstigRegelmSteig4)^($A42-Param.SonstigRegelmJahrBeginn4))</f>
        <v>0</v>
      </c>
      <c r="H42" s="40">
        <f aca="1">IF(OR($A42&lt;Param.SonstigRegelmJahrBeginn5,$A42&gt;Param.SonstigRegelmJahrEnd5),0,Param.SonstigRegelmBetragJaehrl5*(1+Param.SonstigRegelmSteig5)^($A42-Param.SonstigRegelmJahrBeginn5))</f>
        <v>0</v>
      </c>
      <c r="I42" s="40">
        <f aca="1">IF(OR($A42&lt;Param.SonstigRegelmJahrBeginn6,$A42&gt;Param.SonstigRegelmJahrEnd6),0,Param.SonstigRegelmBetragJaehrl6*(1+Param.SonstigRegelmSteig6)^($A42-Param.SonstigRegelmJahrBeginn6))</f>
        <v>0</v>
      </c>
      <c r="J42" s="40">
        <f aca="1">IF(OR($A42&lt;Param.SonstigRegelmJahrBeginn7,$A42&gt;Param.SonstigRegelmJahrEnd7),0,Param.SonstigRegelmBetragJaehrl7*(1+Param.SonstigRegelmSteig7)^($A42-Param.SonstigRegelmJahrBeginn7))</f>
        <v>0</v>
      </c>
      <c r="K42" s="40">
        <f aca="1">IF(OR($A42&lt;Param.SonstigRegelmJahrBeginn8,$A42&gt;Param.SonstigRegelmJahrEnd8),0,Param.SonstigRegelmBetragJaehrl8*(1+Param.SonstigRegelmSteig8)^($A42-Param.SonstigRegelmJahrBeginn8))</f>
        <v>0</v>
      </c>
      <c r="L42" s="40">
        <f aca="1">IF(OR($A42&lt;Param.SonstigRegelmJahrBeginn9,$A42&gt;Param.SonstigRegelmJahrEnd9),0,Param.SonstigRegelmBetragJaehrl9*(1+Param.SonstigRegelmSteig9)^($A42-Param.SonstigRegelmJahrBeginn9))</f>
        <v>0</v>
      </c>
      <c r="M42" s="40">
        <f aca="1">IF(OR($A42&lt;Param.SonstigRegelmJahrBeginn10,$A42&gt;Param.SonstigRegelmJahrEnd10),0,Param.SonstigRegelmBetragJaehrl10*(1+Param.SonstigRegelmSteig10)^($A42-Param.SonstigRegelmJahrBeginn10))</f>
        <v>0</v>
      </c>
      <c r="N42" s="10">
        <f>MAX(0,C42-SUM(D42:M42))</f>
        <v>56800.4609583252022</v>
      </c>
      <c r="O42" s="10">
        <f>IF(N42&lt;=0,SUM(D42:M42)-C42,0)</f>
        <v>0</v>
      </c>
      <c r="P42" s="10">
        <f>S42+AP42</f>
        <v>989937.874125531991</v>
      </c>
      <c r="Q42" s="11">
        <f>IF(P42&gt;0,S42/P42,0)</f>
        <v>0.80543299156350443</v>
      </c>
      <c r="R42" s="11">
        <f>IF(P42&gt;0,AP42/P42,0)</f>
        <v>0.194567008436495676</v>
      </c>
      <c r="S42" s="10">
        <f>AL41</f>
        <v>797328.623418942443</v>
      </c>
      <c r="T42" s="40">
        <f>AM41</f>
        <v>714459.62568695005</v>
      </c>
      <c r="U42" s="40">
        <f aca="1">IF(A42&lt;Param.FireStartjahr,Param.SparrateDepotMonatl*12*(1+Param.SparrateDynamikJaehrl)^($A42-Param.Startjahr),0)</f>
        <v>0</v>
      </c>
      <c r="V42" s="40">
        <f aca="1">IF(AND(Param.SonstigEinmaligKonto1="Depot",$A42=Param.SonstigEinmaligJahr1),Param.SonstigEinmaligBetrag1,0)</f>
        <v>0</v>
      </c>
      <c r="W42" s="40">
        <f aca="1">IF(AND(Param.SonstigEinmaligKonto2="Depot",$A42=Param.SonstigEinmaligJahr2),Param.SonstigEinmaligBetrag2,0)</f>
        <v>0</v>
      </c>
      <c r="X42" s="40">
        <f aca="1">IF(AND(Param.SonstigEinmaligKonto3="Depot",$A42=Param.SonstigEinmaligJahr3),Param.SonstigEinmaligBetrag3,0)</f>
        <v>0</v>
      </c>
      <c r="Y42" s="40">
        <f aca="1">IF(AND(Param.SonstigEinmaligKonto4="Depot",$A42=Param.SonstigEinmaligJahr4),Param.SonstigEinmaligBetrag4,0)</f>
        <v>0</v>
      </c>
      <c r="Z42" s="40">
        <f aca="1">IF(AND(Param.SonstigEinmaligKonto5="Depot",$A42=Param.SonstigEinmaligJahr5),Param.SonstigEinmaligBetrag5,0)</f>
        <v>0</v>
      </c>
      <c r="AA42" s="40">
        <f aca="1">IF(AND(Param.SonstigEinmaligKonto6="Depot",$A42=Param.SonstigEinmaligJahr6),Param.SonstigEinmaligBetrag6,0)</f>
        <v>0</v>
      </c>
      <c r="AB42" s="40">
        <f aca="1">IF(AND(Param.SonstigEinmaligKonto7="Depot",$A42=Param.SonstigEinmaligJahr7),Param.SonstigEinmaligBetrag7,0)</f>
        <v>0</v>
      </c>
      <c r="AC42" s="40">
        <f aca="1">IF(AND(Param.SonstigEinmaligKonto8="Depot",$A42=Param.SonstigEinmaligJahr8),Param.SonstigEinmaligBetrag8,0)</f>
        <v>0</v>
      </c>
      <c r="AD42" s="40">
        <f aca="1">IF(AND(Param.SonstigEinmaligKonto9="Depot",$A42=Param.SonstigEinmaligJahr9),Param.SonstigEinmaligBetrag9,0)</f>
        <v>0</v>
      </c>
      <c r="AE42" s="40">
        <f aca="1">IF(AND(Param.SonstigEinmaligKonto10="Depot",$A42=Param.SonstigEinmaligJahr10),Param.SonstigEinmaligBetrag10,0)</f>
        <v>0</v>
      </c>
      <c r="AF42" s="40">
        <f aca="1">Param.SparerPauschbetrag-BF42</f>
        <v>0</v>
      </c>
      <c r="AG42" s="40">
        <f aca="1">IF(AND(A42&gt;=Param.FireStartjahr,S42&gt;0),MIN(N42*Q42,S42),0)</f>
        <v>45748.9651918498785</v>
      </c>
      <c r="AH42" s="40">
        <f aca="1">IF(AG42&lt;=0,0,IF(S42&lt;=0,0,AG42/(1-MAX(0,((T42/S42)*(1-Param.Teilfreistellung)-MIN(AF42,AG42)/AG42)*Param.KapSt))))</f>
        <v>54817.8239139242796</v>
      </c>
      <c r="AI42" s="40">
        <f>AH42-AG42</f>
        <v>9068.85872207440116</v>
      </c>
      <c r="AJ42" s="40">
        <f>T42-AH42*(T42/S42)</f>
        <v>665339.199297921616</v>
      </c>
      <c r="AK42" s="40">
        <f>S42-AH42</f>
        <v>742510.799505018746</v>
      </c>
      <c r="AL42" s="40">
        <f>FV(AO42,12,-(U42/12),-AK42,0)</f>
        <v>787061.447475290741</v>
      </c>
      <c r="AM42" s="40">
        <f>AJ42+AL42-AK42-U42</f>
        <v>709889.84726819105</v>
      </c>
      <c r="AN42" s="5">
        <f>AM42/AL42</f>
        <v>0.90194971376803128</v>
      </c>
      <c r="AO42" s="5">
        <f aca="1">(1+IF(AND(A42&gt;=Param.DepotRenditeSpezBeginn1,A42&lt;=Param.DepotRenditeSpezEnde1),Param.DepotRenditeSpezProz1,IF(AND(A42&gt;=Param.DepotRenditeSpezBeginn2,A42&lt;=Param.DepotRenditeSpezEnde2),Param.DepotRenditeSpezProz2,IF(AND(A42&gt;=Param.DepotRenditeSpezBeginn3,A42&lt;=Param.DepotRenditeSpezEnde3),Param.DepotRenditeSpezProz3,IF(AND(A42&gt;=Param.DepotRenditeSpezBeginn4,A42&lt;=Param.DepotRenditeSpezEnde4),Param.DepotRenditeSpezProz4,IF(AND(A42&gt;=Param.DepotRenditeSpezBeginn5,A42&lt;=Param.DepotRenditeSpezEnde5),Param.DepotRenditeSpezProz5,Param.DepotRenditeDefault))))))^(1/12)-1</f>
        <v>0.00486755056533993979</v>
      </c>
      <c r="AP42" s="40">
        <f>BJ41</f>
        <v>192609.250706589199</v>
      </c>
      <c r="AQ42" s="40">
        <f aca="1">IF(A42&lt;Param.FireStartjahr,Param.SparrateFestgeldMonatl*12*(1+Param.SparrateDynamikJaehrl)^($A42-Param.Startjahr),0)</f>
        <v>0</v>
      </c>
      <c r="AR42" s="40">
        <f>O42</f>
        <v>0</v>
      </c>
      <c r="AS42" s="40">
        <f aca="1">IF(AND(Param.SonstigEinmaligKonto1="Festgeld",$A42=Param.SonstigEinmaligJahr1),Param.SonstigEinmaligBetrag1,0)</f>
        <v>0</v>
      </c>
      <c r="AT42" s="40">
        <f aca="1">IF(AND(Param.SonstigEinmaligKonto2="Festgeld",$A42=Param.SonstigEinmaligJahr2),Param.SonstigEinmaligBetrag2,0)</f>
        <v>0</v>
      </c>
      <c r="AU42" s="40">
        <f aca="1">IF(AND(Param.SonstigEinmaligKonto3="Festgeld",$A42=Param.SonstigEinmaligJahr3),Param.SonstigEinmaligBetrag3,0)</f>
        <v>0</v>
      </c>
      <c r="AV42" s="40">
        <f aca="1">IF(AND(Param.SonstigEinmaligKonto4="Festgeld",$A42=Param.SonstigEinmaligJahr4),Param.SonstigEinmaligBetrag4,0)</f>
        <v>0</v>
      </c>
      <c r="AW42" s="40">
        <f aca="1">IF(AND(Param.SonstigEinmaligKonto5="Festgeld",$A42=Param.SonstigEinmaligJahr5),Param.SonstigEinmaligBetrag5,0)</f>
        <v>0</v>
      </c>
      <c r="AX42" s="40">
        <f aca="1">IF(AND(Param.SonstigEinmaligKonto6="Festgeld",$A42=Param.SonstigEinmaligJahr6),Param.SonstigEinmaligBetrag6,0)</f>
        <v>0</v>
      </c>
      <c r="AY42" s="40">
        <f aca="1">IF(AND(Param.SonstigEinmaligKonto7="Festgeld",$A42=Param.SonstigEinmaligJahr7),Param.SonstigEinmaligBetrag7,0)</f>
        <v>0</v>
      </c>
      <c r="AZ42" s="40">
        <f aca="1">IF(AND(Param.SonstigEinmaligKonto8="Festgeld",$A42=Param.SonstigEinmaligJahr8),Param.SonstigEinmaligBetrag8,0)</f>
        <v>0</v>
      </c>
      <c r="BA42" s="40">
        <f aca="1">IF(AND(Param.SonstigEinmaligKonto9="Festgeld",$A42=Param.SonstigEinmaligJahr9),Param.SonstigEinmaligBetrag9,0)</f>
        <v>0</v>
      </c>
      <c r="BB42" s="40">
        <f aca="1">IF(AND(Param.SonstigEinmaligKonto10="Festgeld",$A42=Param.SonstigEinmaligJahr10),Param.SonstigEinmaligBetrag10,0)</f>
        <v>0</v>
      </c>
      <c r="BC42" s="40">
        <f aca="1">IF(AND(A42&gt;=Param.FireStartjahr,AP42&gt;0),MIN(N42*R42,AP42),0)</f>
        <v>11051.4957664753201</v>
      </c>
      <c r="BD42" s="5">
        <f aca="1">Param.FestgeldZinssatz</f>
        <v>0.02</v>
      </c>
      <c r="BE42" s="40">
        <f>(AP42+AQ42-BC42)*BD42</f>
        <v>3631.15509880228046</v>
      </c>
      <c r="BF42" s="40">
        <f aca="1">IF(BE42&gt;Param.SparerPauschbetrag,Param.SparerPauschbetrag,BE42)</f>
        <v>1000</v>
      </c>
      <c r="BG42" s="40">
        <f>BE42-BF42</f>
        <v>2631.15509880228001</v>
      </c>
      <c r="BH42" s="40">
        <f aca="1">BG42*Param.KapSt</f>
        <v>693.967157309101367</v>
      </c>
      <c r="BI42" s="40">
        <f>BE42-BH42</f>
        <v>2937.1879414931791</v>
      </c>
      <c r="BJ42" s="63">
        <f>AP42+SUM(AQ42:BB42)-BC42+BI42</f>
        <v>184494.942881607189</v>
      </c>
      <c r="BK42" s="40">
        <f>AL42+BJ42</f>
        <v>971556.390356897959</v>
      </c>
      <c r="BL42" s="40">
        <f aca="1">BK42/(1+Param.Inflationsrate)^(A42-Param.Startjahr)</f>
        <v>389659.252593990183</v>
      </c>
      <c r="BM42" s="52" t="str">
        <f>IF(BK42&lt;N42,A42,"")</f>
        <v/>
      </c>
      <c r="BN42" s="40">
        <f>AH42+BC42</f>
        <v>65869.3196803995961</v>
      </c>
      <c r="BO42" s="40">
        <f>SUM(AR42:BB42)</f>
        <v>0</v>
      </c>
      <c r="BP42" s="40">
        <f>BN42+(-1*BO42)</f>
        <v>65869.3196803995961</v>
      </c>
      <c r="BQ42" s="40">
        <f>AI42+BH42</f>
        <v>9762.82587938350116</v>
      </c>
      <c r="BR42" s="5">
        <f>IF(BK42&gt;0,BP42/BK42,0)</f>
        <v>0.0677977319012875057</v>
      </c>
    </row>
    <row r="43" spans="1:70">
      <c r="A43">
        <f>A42+1</f>
        <v>2064</v>
      </c>
      <c r="B43">
        <f>B5+(39-1)</f>
        <v>68</v>
      </c>
      <c r="C43" s="10">
        <f aca="1">IF(A43&lt;Param.FireStartjahr,0,Param.EntnahmeBetragStart*(1+Param.Inflationsrate)^(A43-Param.Startjahr))</f>
        <v>76670.4724822832941</v>
      </c>
      <c r="D43" s="40">
        <f aca="1">IF(OR($A43&lt;Param.SonstigRegelmJahrBeginn1,$A43&gt;Param.SonstigRegelmJahrEnd1),0,Param.SonstigRegelmBetragJaehrl1*(1+Param.SonstigRegelmSteig1)^(A43-Param.SonstigRegelmJahrBeginn1))</f>
        <v>18180</v>
      </c>
      <c r="E43" s="40">
        <f aca="1">IF(OR($A43&lt;Param.SonstigRegelmJahrBeginn2,$A43&gt;Param.SonstigRegelmJahrEnd2),0,Param.SonstigRegelmBetragJaehrl2*(1+Param.SonstigRegelmSteig2)^($A43-Param.SonstigRegelmJahrBeginn2))</f>
        <v>0</v>
      </c>
      <c r="F43" s="40">
        <f aca="1">IF(OR($A43&lt;Param.SonstigRegelmJahrBeginn3,$A43&gt;Param.SonstigRegelmJahrEnd3),0,Param.SonstigRegelmBetragJaehrl3*(1+Param.SonstigRegelmSteig3)^($A43-Param.SonstigRegelmJahrBeginn3))</f>
        <v>0</v>
      </c>
      <c r="G43" s="40">
        <f aca="1">IF(OR($A43&lt;Param.SonstigRegelmJahrBeginn4,$A43&gt;Param.SonstigRegelmJahrEnd4),0,Param.SonstigRegelmBetragJaehrl4*(1+Param.SonstigRegelmSteig4)^($A43-Param.SonstigRegelmJahrBeginn4))</f>
        <v>0</v>
      </c>
      <c r="H43" s="40">
        <f aca="1">IF(OR($A43&lt;Param.SonstigRegelmJahrBeginn5,$A43&gt;Param.SonstigRegelmJahrEnd5),0,Param.SonstigRegelmBetragJaehrl5*(1+Param.SonstigRegelmSteig5)^($A43-Param.SonstigRegelmJahrBeginn5))</f>
        <v>0</v>
      </c>
      <c r="I43" s="40">
        <f aca="1">IF(OR($A43&lt;Param.SonstigRegelmJahrBeginn6,$A43&gt;Param.SonstigRegelmJahrEnd6),0,Param.SonstigRegelmBetragJaehrl6*(1+Param.SonstigRegelmSteig6)^($A43-Param.SonstigRegelmJahrBeginn6))</f>
        <v>0</v>
      </c>
      <c r="J43" s="40">
        <f aca="1">IF(OR($A43&lt;Param.SonstigRegelmJahrBeginn7,$A43&gt;Param.SonstigRegelmJahrEnd7),0,Param.SonstigRegelmBetragJaehrl7*(1+Param.SonstigRegelmSteig7)^($A43-Param.SonstigRegelmJahrBeginn7))</f>
        <v>0</v>
      </c>
      <c r="K43" s="40">
        <f aca="1">IF(OR($A43&lt;Param.SonstigRegelmJahrBeginn8,$A43&gt;Param.SonstigRegelmJahrEnd8),0,Param.SonstigRegelmBetragJaehrl8*(1+Param.SonstigRegelmSteig8)^($A43-Param.SonstigRegelmJahrBeginn8))</f>
        <v>0</v>
      </c>
      <c r="L43" s="40">
        <f aca="1">IF(OR($A43&lt;Param.SonstigRegelmJahrBeginn9,$A43&gt;Param.SonstigRegelmJahrEnd9),0,Param.SonstigRegelmBetragJaehrl9*(1+Param.SonstigRegelmSteig9)^($A43-Param.SonstigRegelmJahrBeginn9))</f>
        <v>0</v>
      </c>
      <c r="M43" s="40">
        <f aca="1">IF(OR($A43&lt;Param.SonstigRegelmJahrBeginn10,$A43&gt;Param.SonstigRegelmJahrEnd10),0,Param.SonstigRegelmBetragJaehrl10*(1+Param.SonstigRegelmSteig10)^($A43-Param.SonstigRegelmJahrBeginn10))</f>
        <v>0</v>
      </c>
      <c r="N43" s="10">
        <f>MAX(0,C43-SUM(D43:M43))</f>
        <v>58490.4724822832941</v>
      </c>
      <c r="O43" s="10">
        <f>IF(N43&lt;=0,SUM(D43:M43)-C43,0)</f>
        <v>0</v>
      </c>
      <c r="P43" s="10">
        <f>S43+AP43</f>
        <v>971556.390356897959</v>
      </c>
      <c r="Q43" s="11">
        <f>IF(P43&gt;0,S43/P43,0)</f>
        <v>0.810103721500063045</v>
      </c>
      <c r="R43" s="11">
        <f>IF(P43&gt;0,AP43/P43,0)</f>
        <v>0.18989627849993699</v>
      </c>
      <c r="S43" s="10">
        <f>AL42</f>
        <v>787061.447475290741</v>
      </c>
      <c r="T43" s="40">
        <f>AM42</f>
        <v>709889.84726819105</v>
      </c>
      <c r="U43" s="40">
        <f aca="1">IF(A43&lt;Param.FireStartjahr,Param.SparrateDepotMonatl*12*(1+Param.SparrateDynamikJaehrl)^($A43-Param.Startjahr),0)</f>
        <v>0</v>
      </c>
      <c r="V43" s="40">
        <f aca="1">IF(AND(Param.SonstigEinmaligKonto1="Depot",$A43=Param.SonstigEinmaligJahr1),Param.SonstigEinmaligBetrag1,0)</f>
        <v>0</v>
      </c>
      <c r="W43" s="40">
        <f aca="1">IF(AND(Param.SonstigEinmaligKonto2="Depot",$A43=Param.SonstigEinmaligJahr2),Param.SonstigEinmaligBetrag2,0)</f>
        <v>0</v>
      </c>
      <c r="X43" s="40">
        <f aca="1">IF(AND(Param.SonstigEinmaligKonto3="Depot",$A43=Param.SonstigEinmaligJahr3),Param.SonstigEinmaligBetrag3,0)</f>
        <v>0</v>
      </c>
      <c r="Y43" s="40">
        <f aca="1">IF(AND(Param.SonstigEinmaligKonto4="Depot",$A43=Param.SonstigEinmaligJahr4),Param.SonstigEinmaligBetrag4,0)</f>
        <v>0</v>
      </c>
      <c r="Z43" s="40">
        <f aca="1">IF(AND(Param.SonstigEinmaligKonto5="Depot",$A43=Param.SonstigEinmaligJahr5),Param.SonstigEinmaligBetrag5,0)</f>
        <v>0</v>
      </c>
      <c r="AA43" s="40">
        <f aca="1">IF(AND(Param.SonstigEinmaligKonto6="Depot",$A43=Param.SonstigEinmaligJahr6),Param.SonstigEinmaligBetrag6,0)</f>
        <v>0</v>
      </c>
      <c r="AB43" s="40">
        <f aca="1">IF(AND(Param.SonstigEinmaligKonto7="Depot",$A43=Param.SonstigEinmaligJahr7),Param.SonstigEinmaligBetrag7,0)</f>
        <v>0</v>
      </c>
      <c r="AC43" s="40">
        <f aca="1">IF(AND(Param.SonstigEinmaligKonto8="Depot",$A43=Param.SonstigEinmaligJahr8),Param.SonstigEinmaligBetrag8,0)</f>
        <v>0</v>
      </c>
      <c r="AD43" s="40">
        <f aca="1">IF(AND(Param.SonstigEinmaligKonto9="Depot",$A43=Param.SonstigEinmaligJahr9),Param.SonstigEinmaligBetrag9,0)</f>
        <v>0</v>
      </c>
      <c r="AE43" s="40">
        <f aca="1">IF(AND(Param.SonstigEinmaligKonto10="Depot",$A43=Param.SonstigEinmaligJahr10),Param.SonstigEinmaligBetrag10,0)</f>
        <v>0</v>
      </c>
      <c r="AF43" s="40">
        <f aca="1">Param.SparerPauschbetrag-BF43</f>
        <v>0</v>
      </c>
      <c r="AG43" s="40">
        <f aca="1">IF(AND(A43&gt;=Param.FireStartjahr,S43&gt;0),MIN(N43*Q43,S43),0)</f>
        <v>47383.3494301947358</v>
      </c>
      <c r="AH43" s="40">
        <f aca="1">IF(AG43&lt;=0,0,IF(S43&lt;=0,0,AG43/(1-MAX(0,((T43/S43)*(1-Param.Teilfreistellung)-MIN(AF43,AG43)/AG43)*Param.KapSt))))</f>
        <v>56850.181908755716</v>
      </c>
      <c r="AI43" s="40">
        <f>AH43-AG43</f>
        <v>9466.83247856100206</v>
      </c>
      <c r="AJ43" s="40">
        <f>T43-AH43*(T43/S43)</f>
        <v>658613.84196792834</v>
      </c>
      <c r="AK43" s="40">
        <f>S43-AH43</f>
        <v>730211.265566535294</v>
      </c>
      <c r="AL43" s="40">
        <f>FV(AO43,12,-(U43/12),-AK43,0)</f>
        <v>774023.941500498797</v>
      </c>
      <c r="AM43" s="40">
        <f>AJ43+AL43-AK43-U43</f>
        <v>702426.517901894986</v>
      </c>
      <c r="AN43" s="5">
        <f>AM43/AL43</f>
        <v>0.907499729969841162</v>
      </c>
      <c r="AO43" s="5">
        <f aca="1">(1+IF(AND(A43&gt;=Param.DepotRenditeSpezBeginn1,A43&lt;=Param.DepotRenditeSpezEnde1),Param.DepotRenditeSpezProz1,IF(AND(A43&gt;=Param.DepotRenditeSpezBeginn2,A43&lt;=Param.DepotRenditeSpezEnde2),Param.DepotRenditeSpezProz2,IF(AND(A43&gt;=Param.DepotRenditeSpezBeginn3,A43&lt;=Param.DepotRenditeSpezEnde3),Param.DepotRenditeSpezProz3,IF(AND(A43&gt;=Param.DepotRenditeSpezBeginn4,A43&lt;=Param.DepotRenditeSpezEnde4),Param.DepotRenditeSpezProz4,IF(AND(A43&gt;=Param.DepotRenditeSpezBeginn5,A43&lt;=Param.DepotRenditeSpezEnde5),Param.DepotRenditeSpezProz5,Param.DepotRenditeDefault))))))^(1/12)-1</f>
        <v>0.00486755056533993979</v>
      </c>
      <c r="AP43" s="40">
        <f>BJ42</f>
        <v>184494.942881607189</v>
      </c>
      <c r="AQ43" s="40">
        <f aca="1">IF(A43&lt;Param.FireStartjahr,Param.SparrateFestgeldMonatl*12*(1+Param.SparrateDynamikJaehrl)^($A43-Param.Startjahr),0)</f>
        <v>0</v>
      </c>
      <c r="AR43" s="40">
        <f>O43</f>
        <v>0</v>
      </c>
      <c r="AS43" s="40">
        <f aca="1">IF(AND(Param.SonstigEinmaligKonto1="Festgeld",$A43=Param.SonstigEinmaligJahr1),Param.SonstigEinmaligBetrag1,0)</f>
        <v>0</v>
      </c>
      <c r="AT43" s="40">
        <f aca="1">IF(AND(Param.SonstigEinmaligKonto2="Festgeld",$A43=Param.SonstigEinmaligJahr2),Param.SonstigEinmaligBetrag2,0)</f>
        <v>0</v>
      </c>
      <c r="AU43" s="40">
        <f aca="1">IF(AND(Param.SonstigEinmaligKonto3="Festgeld",$A43=Param.SonstigEinmaligJahr3),Param.SonstigEinmaligBetrag3,0)</f>
        <v>0</v>
      </c>
      <c r="AV43" s="40">
        <f aca="1">IF(AND(Param.SonstigEinmaligKonto4="Festgeld",$A43=Param.SonstigEinmaligJahr4),Param.SonstigEinmaligBetrag4,0)</f>
        <v>0</v>
      </c>
      <c r="AW43" s="40">
        <f aca="1">IF(AND(Param.SonstigEinmaligKonto5="Festgeld",$A43=Param.SonstigEinmaligJahr5),Param.SonstigEinmaligBetrag5,0)</f>
        <v>0</v>
      </c>
      <c r="AX43" s="40">
        <f aca="1">IF(AND(Param.SonstigEinmaligKonto6="Festgeld",$A43=Param.SonstigEinmaligJahr6),Param.SonstigEinmaligBetrag6,0)</f>
        <v>0</v>
      </c>
      <c r="AY43" s="40">
        <f aca="1">IF(AND(Param.SonstigEinmaligKonto7="Festgeld",$A43=Param.SonstigEinmaligJahr7),Param.SonstigEinmaligBetrag7,0)</f>
        <v>0</v>
      </c>
      <c r="AZ43" s="40">
        <f aca="1">IF(AND(Param.SonstigEinmaligKonto8="Festgeld",$A43=Param.SonstigEinmaligJahr8),Param.SonstigEinmaligBetrag8,0)</f>
        <v>0</v>
      </c>
      <c r="BA43" s="40">
        <f aca="1">IF(AND(Param.SonstigEinmaligKonto9="Festgeld",$A43=Param.SonstigEinmaligJahr9),Param.SonstigEinmaligBetrag9,0)</f>
        <v>0</v>
      </c>
      <c r="BB43" s="40">
        <f aca="1">IF(AND(Param.SonstigEinmaligKonto10="Festgeld",$A43=Param.SonstigEinmaligJahr10),Param.SonstigEinmaligBetrag10,0)</f>
        <v>0</v>
      </c>
      <c r="BC43" s="40">
        <f aca="1">IF(AND(A43&gt;=Param.FireStartjahr,AP43&gt;0),MIN(N43*R43,AP43),0)</f>
        <v>11107.1230520885711</v>
      </c>
      <c r="BD43" s="5">
        <f aca="1">Param.FestgeldZinssatz</f>
        <v>0.02</v>
      </c>
      <c r="BE43" s="40">
        <f>(AP43+AQ43-BC43)*BD43</f>
        <v>3467.75639659036005</v>
      </c>
      <c r="BF43" s="40">
        <f aca="1">IF(BE43&gt;Param.SparerPauschbetrag,Param.SparerPauschbetrag,BE43)</f>
        <v>1000</v>
      </c>
      <c r="BG43" s="40">
        <f>BE43-BF43</f>
        <v>2467.75639659036005</v>
      </c>
      <c r="BH43" s="40">
        <f aca="1">BG43*Param.KapSt</f>
        <v>650.870749600707427</v>
      </c>
      <c r="BI43" s="40">
        <f>BE43-BH43</f>
        <v>2816.88564698965183</v>
      </c>
      <c r="BJ43" s="63">
        <f>AP43+SUM(AQ43:BB43)-BC43+BI43</f>
        <v>176204.705476507661</v>
      </c>
      <c r="BK43" s="40">
        <f>AL43+BJ43</f>
        <v>950228.64697700704</v>
      </c>
      <c r="BL43" s="40">
        <f aca="1">BK43/(1+Param.Inflationsrate)^(A43-Param.Startjahr)</f>
        <v>371810.143936408625</v>
      </c>
      <c r="BM43" s="52" t="str">
        <f>IF(BK43&lt;N43,A43,"")</f>
        <v/>
      </c>
      <c r="BN43" s="40">
        <f>AH43+BC43</f>
        <v>67957.3049608442961</v>
      </c>
      <c r="BO43" s="40">
        <f>SUM(AR43:BB43)</f>
        <v>0</v>
      </c>
      <c r="BP43" s="40">
        <f>BN43+(-1*BO43)</f>
        <v>67957.3049608442961</v>
      </c>
      <c r="BQ43" s="40">
        <f>AI43+BH43</f>
        <v>10117.7032281617085</v>
      </c>
      <c r="BR43" s="5">
        <f>IF(BK43&gt;0,BP43/BK43,0)</f>
        <v>0.0715167924867757421</v>
      </c>
    </row>
    <row r="44" spans="1:70">
      <c r="A44">
        <f>A43+1</f>
        <v>2065</v>
      </c>
      <c r="B44">
        <f>B5+(40-1)</f>
        <v>69</v>
      </c>
      <c r="C44" s="10">
        <f aca="1">IF(A44&lt;Param.FireStartjahr,0,Param.EntnahmeBetragStart*(1+Param.Inflationsrate)^(A44-Param.Startjahr))</f>
        <v>78587.2342943403055</v>
      </c>
      <c r="D44" s="40">
        <f aca="1">IF(OR($A44&lt;Param.SonstigRegelmJahrBeginn1,$A44&gt;Param.SonstigRegelmJahrEnd1),0,Param.SonstigRegelmBetragJaehrl1*(1+Param.SonstigRegelmSteig1)^(A44-Param.SonstigRegelmJahrBeginn1))</f>
        <v>18361.7999999999993</v>
      </c>
      <c r="E44" s="40">
        <f aca="1">IF(OR($A44&lt;Param.SonstigRegelmJahrBeginn2,$A44&gt;Param.SonstigRegelmJahrEnd2),0,Param.SonstigRegelmBetragJaehrl2*(1+Param.SonstigRegelmSteig2)^($A44-Param.SonstigRegelmJahrBeginn2))</f>
        <v>0</v>
      </c>
      <c r="F44" s="40">
        <f aca="1">IF(OR($A44&lt;Param.SonstigRegelmJahrBeginn3,$A44&gt;Param.SonstigRegelmJahrEnd3),0,Param.SonstigRegelmBetragJaehrl3*(1+Param.SonstigRegelmSteig3)^($A44-Param.SonstigRegelmJahrBeginn3))</f>
        <v>0</v>
      </c>
      <c r="G44" s="40">
        <f aca="1">IF(OR($A44&lt;Param.SonstigRegelmJahrBeginn4,$A44&gt;Param.SonstigRegelmJahrEnd4),0,Param.SonstigRegelmBetragJaehrl4*(1+Param.SonstigRegelmSteig4)^($A44-Param.SonstigRegelmJahrBeginn4))</f>
        <v>0</v>
      </c>
      <c r="H44" s="40">
        <f aca="1">IF(OR($A44&lt;Param.SonstigRegelmJahrBeginn5,$A44&gt;Param.SonstigRegelmJahrEnd5),0,Param.SonstigRegelmBetragJaehrl5*(1+Param.SonstigRegelmSteig5)^($A44-Param.SonstigRegelmJahrBeginn5))</f>
        <v>0</v>
      </c>
      <c r="I44" s="40">
        <f aca="1">IF(OR($A44&lt;Param.SonstigRegelmJahrBeginn6,$A44&gt;Param.SonstigRegelmJahrEnd6),0,Param.SonstigRegelmBetragJaehrl6*(1+Param.SonstigRegelmSteig6)^($A44-Param.SonstigRegelmJahrBeginn6))</f>
        <v>0</v>
      </c>
      <c r="J44" s="40">
        <f aca="1">IF(OR($A44&lt;Param.SonstigRegelmJahrBeginn7,$A44&gt;Param.SonstigRegelmJahrEnd7),0,Param.SonstigRegelmBetragJaehrl7*(1+Param.SonstigRegelmSteig7)^($A44-Param.SonstigRegelmJahrBeginn7))</f>
        <v>0</v>
      </c>
      <c r="K44" s="40">
        <f aca="1">IF(OR($A44&lt;Param.SonstigRegelmJahrBeginn8,$A44&gt;Param.SonstigRegelmJahrEnd8),0,Param.SonstigRegelmBetragJaehrl8*(1+Param.SonstigRegelmSteig8)^($A44-Param.SonstigRegelmJahrBeginn8))</f>
        <v>0</v>
      </c>
      <c r="L44" s="40">
        <f aca="1">IF(OR($A44&lt;Param.SonstigRegelmJahrBeginn9,$A44&gt;Param.SonstigRegelmJahrEnd9),0,Param.SonstigRegelmBetragJaehrl9*(1+Param.SonstigRegelmSteig9)^($A44-Param.SonstigRegelmJahrBeginn9))</f>
        <v>0</v>
      </c>
      <c r="M44" s="40">
        <f aca="1">IF(OR($A44&lt;Param.SonstigRegelmJahrBeginn10,$A44&gt;Param.SonstigRegelmJahrEnd10),0,Param.SonstigRegelmBetragJaehrl10*(1+Param.SonstigRegelmSteig10)^($A44-Param.SonstigRegelmJahrBeginn10))</f>
        <v>0</v>
      </c>
      <c r="N44" s="10">
        <f>MAX(0,C44-SUM(D44:M44))</f>
        <v>60225.4342943403026</v>
      </c>
      <c r="O44" s="10">
        <f>IF(N44&lt;=0,SUM(D44:M44)-C44,0)</f>
        <v>0</v>
      </c>
      <c r="P44" s="10">
        <f>S44+AP44</f>
        <v>950228.64697700704</v>
      </c>
      <c r="Q44" s="11">
        <f>IF(P44&gt;0,S44/P44,0)</f>
        <v>0.814565993103792785</v>
      </c>
      <c r="R44" s="11">
        <f>IF(P44&gt;0,AP44/P44,0)</f>
        <v>0.185434006896207251</v>
      </c>
      <c r="S44" s="10">
        <f>AL43</f>
        <v>774023.941500498797</v>
      </c>
      <c r="T44" s="40">
        <f>AM43</f>
        <v>702426.517901894986</v>
      </c>
      <c r="U44" s="40">
        <f aca="1">IF(A44&lt;Param.FireStartjahr,Param.SparrateDepotMonatl*12*(1+Param.SparrateDynamikJaehrl)^($A44-Param.Startjahr),0)</f>
        <v>0</v>
      </c>
      <c r="V44" s="40">
        <f aca="1">IF(AND(Param.SonstigEinmaligKonto1="Depot",$A44=Param.SonstigEinmaligJahr1),Param.SonstigEinmaligBetrag1,0)</f>
        <v>0</v>
      </c>
      <c r="W44" s="40">
        <f aca="1">IF(AND(Param.SonstigEinmaligKonto2="Depot",$A44=Param.SonstigEinmaligJahr2),Param.SonstigEinmaligBetrag2,0)</f>
        <v>0</v>
      </c>
      <c r="X44" s="40">
        <f aca="1">IF(AND(Param.SonstigEinmaligKonto3="Depot",$A44=Param.SonstigEinmaligJahr3),Param.SonstigEinmaligBetrag3,0)</f>
        <v>0</v>
      </c>
      <c r="Y44" s="40">
        <f aca="1">IF(AND(Param.SonstigEinmaligKonto4="Depot",$A44=Param.SonstigEinmaligJahr4),Param.SonstigEinmaligBetrag4,0)</f>
        <v>0</v>
      </c>
      <c r="Z44" s="40">
        <f aca="1">IF(AND(Param.SonstigEinmaligKonto5="Depot",$A44=Param.SonstigEinmaligJahr5),Param.SonstigEinmaligBetrag5,0)</f>
        <v>0</v>
      </c>
      <c r="AA44" s="40">
        <f aca="1">IF(AND(Param.SonstigEinmaligKonto6="Depot",$A44=Param.SonstigEinmaligJahr6),Param.SonstigEinmaligBetrag6,0)</f>
        <v>0</v>
      </c>
      <c r="AB44" s="40">
        <f aca="1">IF(AND(Param.SonstigEinmaligKonto7="Depot",$A44=Param.SonstigEinmaligJahr7),Param.SonstigEinmaligBetrag7,0)</f>
        <v>0</v>
      </c>
      <c r="AC44" s="40">
        <f aca="1">IF(AND(Param.SonstigEinmaligKonto8="Depot",$A44=Param.SonstigEinmaligJahr8),Param.SonstigEinmaligBetrag8,0)</f>
        <v>0</v>
      </c>
      <c r="AD44" s="40">
        <f aca="1">IF(AND(Param.SonstigEinmaligKonto9="Depot",$A44=Param.SonstigEinmaligJahr9),Param.SonstigEinmaligBetrag9,0)</f>
        <v>0</v>
      </c>
      <c r="AE44" s="40">
        <f aca="1">IF(AND(Param.SonstigEinmaligKonto10="Depot",$A44=Param.SonstigEinmaligJahr10),Param.SonstigEinmaligBetrag10,0)</f>
        <v>0</v>
      </c>
      <c r="AF44" s="40">
        <f aca="1">Param.SparerPauschbetrag-BF44</f>
        <v>0</v>
      </c>
      <c r="AG44" s="40">
        <f aca="1">IF(AND(A44&gt;=Param.FireStartjahr,S44&gt;0),MIN(N44*Q44,S44),0)</f>
        <v>49057.5906960765424</v>
      </c>
      <c r="AH44" s="40">
        <f aca="1">IF(AG44&lt;=0,0,IF(S44&lt;=0,0,AG44/(1-MAX(0,((T44/S44)*(1-Param.Teilfreistellung)-MIN(AF44,AG44)/AG44)*Param.KapSt))))</f>
        <v>58931.3736724182818</v>
      </c>
      <c r="AI44" s="40">
        <f>AH44-AG44</f>
        <v>9873.7829763418049</v>
      </c>
      <c r="AJ44" s="40">
        <f>T44-AH44*(T44/S44)</f>
        <v>648946.312207423616</v>
      </c>
      <c r="AK44" s="40">
        <f>S44-AH44</f>
        <v>715092.567828080733</v>
      </c>
      <c r="AL44" s="40">
        <f>FV(AO44,12,-(U44/12),-AK44,0)</f>
        <v>757998.121897737496</v>
      </c>
      <c r="AM44" s="40">
        <f>AJ44+AL44-AK44-U44</f>
        <v>691851.866277078982</v>
      </c>
      <c r="AN44" s="5">
        <f>AM44/AL44</f>
        <v>0.912735594311165421</v>
      </c>
      <c r="AO44" s="5">
        <f aca="1">(1+IF(AND(A44&gt;=Param.DepotRenditeSpezBeginn1,A44&lt;=Param.DepotRenditeSpezEnde1),Param.DepotRenditeSpezProz1,IF(AND(A44&gt;=Param.DepotRenditeSpezBeginn2,A44&lt;=Param.DepotRenditeSpezEnde2),Param.DepotRenditeSpezProz2,IF(AND(A44&gt;=Param.DepotRenditeSpezBeginn3,A44&lt;=Param.DepotRenditeSpezEnde3),Param.DepotRenditeSpezProz3,IF(AND(A44&gt;=Param.DepotRenditeSpezBeginn4,A44&lt;=Param.DepotRenditeSpezEnde4),Param.DepotRenditeSpezProz4,IF(AND(A44&gt;=Param.DepotRenditeSpezBeginn5,A44&lt;=Param.DepotRenditeSpezEnde5),Param.DepotRenditeSpezProz5,Param.DepotRenditeDefault))))))^(1/12)-1</f>
        <v>0.00486755056533993979</v>
      </c>
      <c r="AP44" s="40">
        <f>BJ43</f>
        <v>176204.705476507661</v>
      </c>
      <c r="AQ44" s="40">
        <f aca="1">IF(A44&lt;Param.FireStartjahr,Param.SparrateFestgeldMonatl*12*(1+Param.SparrateDynamikJaehrl)^($A44-Param.Startjahr),0)</f>
        <v>0</v>
      </c>
      <c r="AR44" s="40">
        <f>O44</f>
        <v>0</v>
      </c>
      <c r="AS44" s="40">
        <f aca="1">IF(AND(Param.SonstigEinmaligKonto1="Festgeld",$A44=Param.SonstigEinmaligJahr1),Param.SonstigEinmaligBetrag1,0)</f>
        <v>0</v>
      </c>
      <c r="AT44" s="40">
        <f aca="1">IF(AND(Param.SonstigEinmaligKonto2="Festgeld",$A44=Param.SonstigEinmaligJahr2),Param.SonstigEinmaligBetrag2,0)</f>
        <v>0</v>
      </c>
      <c r="AU44" s="40">
        <f aca="1">IF(AND(Param.SonstigEinmaligKonto3="Festgeld",$A44=Param.SonstigEinmaligJahr3),Param.SonstigEinmaligBetrag3,0)</f>
        <v>0</v>
      </c>
      <c r="AV44" s="40">
        <f aca="1">IF(AND(Param.SonstigEinmaligKonto4="Festgeld",$A44=Param.SonstigEinmaligJahr4),Param.SonstigEinmaligBetrag4,0)</f>
        <v>0</v>
      </c>
      <c r="AW44" s="40">
        <f aca="1">IF(AND(Param.SonstigEinmaligKonto5="Festgeld",$A44=Param.SonstigEinmaligJahr5),Param.SonstigEinmaligBetrag5,0)</f>
        <v>0</v>
      </c>
      <c r="AX44" s="40">
        <f aca="1">IF(AND(Param.SonstigEinmaligKonto6="Festgeld",$A44=Param.SonstigEinmaligJahr6),Param.SonstigEinmaligBetrag6,0)</f>
        <v>0</v>
      </c>
      <c r="AY44" s="40">
        <f aca="1">IF(AND(Param.SonstigEinmaligKonto7="Festgeld",$A44=Param.SonstigEinmaligJahr7),Param.SonstigEinmaligBetrag7,0)</f>
        <v>0</v>
      </c>
      <c r="AZ44" s="40">
        <f aca="1">IF(AND(Param.SonstigEinmaligKonto8="Festgeld",$A44=Param.SonstigEinmaligJahr8),Param.SonstigEinmaligBetrag8,0)</f>
        <v>0</v>
      </c>
      <c r="BA44" s="40">
        <f aca="1">IF(AND(Param.SonstigEinmaligKonto9="Festgeld",$A44=Param.SonstigEinmaligJahr9),Param.SonstigEinmaligBetrag9,0)</f>
        <v>0</v>
      </c>
      <c r="BB44" s="40">
        <f aca="1">IF(AND(Param.SonstigEinmaligKonto10="Festgeld",$A44=Param.SonstigEinmaligJahr10),Param.SonstigEinmaligBetrag10,0)</f>
        <v>0</v>
      </c>
      <c r="BC44" s="40">
        <f aca="1">IF(AND(A44&gt;=Param.FireStartjahr,AP44&gt;0),MIN(N44*R44,AP44),0)</f>
        <v>11167.843598263762</v>
      </c>
      <c r="BD44" s="5">
        <f aca="1">Param.FestgeldZinssatz</f>
        <v>0.02</v>
      </c>
      <c r="BE44" s="40">
        <f>(AP44+AQ44-BC44)*BD44</f>
        <v>3300.73723756488016</v>
      </c>
      <c r="BF44" s="40">
        <f aca="1">IF(BE44&gt;Param.SparerPauschbetrag,Param.SparerPauschbetrag,BE44)</f>
        <v>1000</v>
      </c>
      <c r="BG44" s="40">
        <f>BE44-BF44</f>
        <v>2300.73723756488016</v>
      </c>
      <c r="BH44" s="40">
        <f aca="1">BG44*Param.KapSt</f>
        <v>606.819446407737132</v>
      </c>
      <c r="BI44" s="40">
        <f>BE44-BH44</f>
        <v>2693.91779115714326</v>
      </c>
      <c r="BJ44" s="63">
        <f>AP44+SUM(AQ44:BB44)-BC44+BI44</f>
        <v>167730.779669401149</v>
      </c>
      <c r="BK44" s="40">
        <f>AL44+BJ44</f>
        <v>925728.901567138964</v>
      </c>
      <c r="BL44" s="40">
        <f aca="1">BK44/(1+Param.Inflationsrate)^(A44-Param.Startjahr)</f>
        <v>353389.036990378518</v>
      </c>
      <c r="BM44" s="52" t="str">
        <f>IF(BK44&lt;N44,A44,"")</f>
        <v/>
      </c>
      <c r="BN44" s="40">
        <f>AH44+BC44</f>
        <v>70099.2172706821002</v>
      </c>
      <c r="BO44" s="40">
        <f>SUM(AR44:BB44)</f>
        <v>0</v>
      </c>
      <c r="BP44" s="40">
        <f>BN44+(-1*BO44)</f>
        <v>70099.2172706821002</v>
      </c>
      <c r="BQ44" s="40">
        <f>AI44+BH44</f>
        <v>10480.6024227495473</v>
      </c>
      <c r="BR44" s="5">
        <f>IF(BK44&gt;0,BP44/BK44,0)</f>
        <v>0.0757232675268247757</v>
      </c>
    </row>
    <row r="45" spans="1:70">
      <c r="A45">
        <f>A44+1</f>
        <v>2066</v>
      </c>
      <c r="B45">
        <f>B5+(41-1)</f>
        <v>70</v>
      </c>
      <c r="C45" s="10">
        <f aca="1">IF(A45&lt;Param.FireStartjahr,0,Param.EntnahmeBetragStart*(1+Param.Inflationsrate)^(A45-Param.Startjahr))</f>
        <v>80551.9151516988059</v>
      </c>
      <c r="D45" s="40">
        <f aca="1">IF(OR($A45&lt;Param.SonstigRegelmJahrBeginn1,$A45&gt;Param.SonstigRegelmJahrEnd1),0,Param.SonstigRegelmBetragJaehrl1*(1+Param.SonstigRegelmSteig1)^(A45-Param.SonstigRegelmJahrBeginn1))</f>
        <v>18545.4179999999978</v>
      </c>
      <c r="E45" s="40">
        <f aca="1">IF(OR($A45&lt;Param.SonstigRegelmJahrBeginn2,$A45&gt;Param.SonstigRegelmJahrEnd2),0,Param.SonstigRegelmBetragJaehrl2*(1+Param.SonstigRegelmSteig2)^($A45-Param.SonstigRegelmJahrBeginn2))</f>
        <v>0</v>
      </c>
      <c r="F45" s="40">
        <f aca="1">IF(OR($A45&lt;Param.SonstigRegelmJahrBeginn3,$A45&gt;Param.SonstigRegelmJahrEnd3),0,Param.SonstigRegelmBetragJaehrl3*(1+Param.SonstigRegelmSteig3)^($A45-Param.SonstigRegelmJahrBeginn3))</f>
        <v>0</v>
      </c>
      <c r="G45" s="40">
        <f aca="1">IF(OR($A45&lt;Param.SonstigRegelmJahrBeginn4,$A45&gt;Param.SonstigRegelmJahrEnd4),0,Param.SonstigRegelmBetragJaehrl4*(1+Param.SonstigRegelmSteig4)^($A45-Param.SonstigRegelmJahrBeginn4))</f>
        <v>0</v>
      </c>
      <c r="H45" s="40">
        <f aca="1">IF(OR($A45&lt;Param.SonstigRegelmJahrBeginn5,$A45&gt;Param.SonstigRegelmJahrEnd5),0,Param.SonstigRegelmBetragJaehrl5*(1+Param.SonstigRegelmSteig5)^($A45-Param.SonstigRegelmJahrBeginn5))</f>
        <v>0</v>
      </c>
      <c r="I45" s="40">
        <f aca="1">IF(OR($A45&lt;Param.SonstigRegelmJahrBeginn6,$A45&gt;Param.SonstigRegelmJahrEnd6),0,Param.SonstigRegelmBetragJaehrl6*(1+Param.SonstigRegelmSteig6)^($A45-Param.SonstigRegelmJahrBeginn6))</f>
        <v>0</v>
      </c>
      <c r="J45" s="40">
        <f aca="1">IF(OR($A45&lt;Param.SonstigRegelmJahrBeginn7,$A45&gt;Param.SonstigRegelmJahrEnd7),0,Param.SonstigRegelmBetragJaehrl7*(1+Param.SonstigRegelmSteig7)^($A45-Param.SonstigRegelmJahrBeginn7))</f>
        <v>0</v>
      </c>
      <c r="K45" s="40">
        <f aca="1">IF(OR($A45&lt;Param.SonstigRegelmJahrBeginn8,$A45&gt;Param.SonstigRegelmJahrEnd8),0,Param.SonstigRegelmBetragJaehrl8*(1+Param.SonstigRegelmSteig8)^($A45-Param.SonstigRegelmJahrBeginn8))</f>
        <v>0</v>
      </c>
      <c r="L45" s="40">
        <f aca="1">IF(OR($A45&lt;Param.SonstigRegelmJahrBeginn9,$A45&gt;Param.SonstigRegelmJahrEnd9),0,Param.SonstigRegelmBetragJaehrl9*(1+Param.SonstigRegelmSteig9)^($A45-Param.SonstigRegelmJahrBeginn9))</f>
        <v>0</v>
      </c>
      <c r="M45" s="40">
        <f aca="1">IF(OR($A45&lt;Param.SonstigRegelmJahrBeginn10,$A45&gt;Param.SonstigRegelmJahrEnd10),0,Param.SonstigRegelmBetragJaehrl10*(1+Param.SonstigRegelmSteig10)^($A45-Param.SonstigRegelmJahrBeginn10))</f>
        <v>0</v>
      </c>
      <c r="N45" s="10">
        <f>MAX(0,C45-SUM(D45:M45))</f>
        <v>62006.4971516988007</v>
      </c>
      <c r="O45" s="10">
        <f>IF(N45&lt;=0,SUM(D45:M45)-C45,0)</f>
        <v>0</v>
      </c>
      <c r="P45" s="10">
        <f>S45+AP45</f>
        <v>925728.901567138964</v>
      </c>
      <c r="Q45" s="11">
        <f>IF(P45&gt;0,S45/P45,0)</f>
        <v>0.818812203674904637</v>
      </c>
      <c r="R45" s="11">
        <f>IF(P45&gt;0,AP45/P45,0)</f>
        <v>0.181187796325095327</v>
      </c>
      <c r="S45" s="10">
        <f>AL44</f>
        <v>757998.121897737496</v>
      </c>
      <c r="T45" s="40">
        <f>AM44</f>
        <v>691851.866277078982</v>
      </c>
      <c r="U45" s="40">
        <f aca="1">IF(A45&lt;Param.FireStartjahr,Param.SparrateDepotMonatl*12*(1+Param.SparrateDynamikJaehrl)^($A45-Param.Startjahr),0)</f>
        <v>0</v>
      </c>
      <c r="V45" s="40">
        <f aca="1">IF(AND(Param.SonstigEinmaligKonto1="Depot",$A45=Param.SonstigEinmaligJahr1),Param.SonstigEinmaligBetrag1,0)</f>
        <v>0</v>
      </c>
      <c r="W45" s="40">
        <f aca="1">IF(AND(Param.SonstigEinmaligKonto2="Depot",$A45=Param.SonstigEinmaligJahr2),Param.SonstigEinmaligBetrag2,0)</f>
        <v>0</v>
      </c>
      <c r="X45" s="40">
        <f aca="1">IF(AND(Param.SonstigEinmaligKonto3="Depot",$A45=Param.SonstigEinmaligJahr3),Param.SonstigEinmaligBetrag3,0)</f>
        <v>0</v>
      </c>
      <c r="Y45" s="40">
        <f aca="1">IF(AND(Param.SonstigEinmaligKonto4="Depot",$A45=Param.SonstigEinmaligJahr4),Param.SonstigEinmaligBetrag4,0)</f>
        <v>0</v>
      </c>
      <c r="Z45" s="40">
        <f aca="1">IF(AND(Param.SonstigEinmaligKonto5="Depot",$A45=Param.SonstigEinmaligJahr5),Param.SonstigEinmaligBetrag5,0)</f>
        <v>0</v>
      </c>
      <c r="AA45" s="40">
        <f aca="1">IF(AND(Param.SonstigEinmaligKonto6="Depot",$A45=Param.SonstigEinmaligJahr6),Param.SonstigEinmaligBetrag6,0)</f>
        <v>0</v>
      </c>
      <c r="AB45" s="40">
        <f aca="1">IF(AND(Param.SonstigEinmaligKonto7="Depot",$A45=Param.SonstigEinmaligJahr7),Param.SonstigEinmaligBetrag7,0)</f>
        <v>0</v>
      </c>
      <c r="AC45" s="40">
        <f aca="1">IF(AND(Param.SonstigEinmaligKonto8="Depot",$A45=Param.SonstigEinmaligJahr8),Param.SonstigEinmaligBetrag8,0)</f>
        <v>0</v>
      </c>
      <c r="AD45" s="40">
        <f aca="1">IF(AND(Param.SonstigEinmaligKonto9="Depot",$A45=Param.SonstigEinmaligJahr9),Param.SonstigEinmaligBetrag9,0)</f>
        <v>0</v>
      </c>
      <c r="AE45" s="40">
        <f aca="1">IF(AND(Param.SonstigEinmaligKonto10="Depot",$A45=Param.SonstigEinmaligJahr10),Param.SonstigEinmaligBetrag10,0)</f>
        <v>0</v>
      </c>
      <c r="AF45" s="40">
        <f aca="1">Param.SparerPauschbetrag-BF45</f>
        <v>0</v>
      </c>
      <c r="AG45" s="40">
        <f aca="1">IF(AND(A45&gt;=Param.FireStartjahr,S45&gt;0),MIN(N45*Q45,S45),0)</f>
        <v>50771.6765749442202</v>
      </c>
      <c r="AH45" s="40">
        <f aca="1">IF(AG45&lt;=0,0,IF(S45&lt;=0,0,AG45/(1-MAX(0,((T45/S45)*(1-Param.Teilfreistellung)-MIN(AF45,AG45)/AG45)*Param.KapSt))))</f>
        <v>61061.35872198984</v>
      </c>
      <c r="AI45" s="40">
        <f>AH45-AG45</f>
        <v>10289.6821470456052</v>
      </c>
      <c r="AJ45" s="40">
        <f>T45-AH45*(T45/S45)</f>
        <v>636118.99073451641</v>
      </c>
      <c r="AK45" s="40">
        <f>S45-AH45</f>
        <v>696936.763175748172</v>
      </c>
      <c r="AL45" s="40">
        <f>FV(AO45,12,-(U45/12),-AK45,0)</f>
        <v>738752.968966265675</v>
      </c>
      <c r="AM45" s="40">
        <f>AJ45+AL45-AK45-U45</f>
        <v>677935.19652503205</v>
      </c>
      <c r="AN45" s="5">
        <f>AM45/AL45</f>
        <v>0.917675088972791464</v>
      </c>
      <c r="AO45" s="5">
        <f aca="1">(1+IF(AND(A45&gt;=Param.DepotRenditeSpezBeginn1,A45&lt;=Param.DepotRenditeSpezEnde1),Param.DepotRenditeSpezProz1,IF(AND(A45&gt;=Param.DepotRenditeSpezBeginn2,A45&lt;=Param.DepotRenditeSpezEnde2),Param.DepotRenditeSpezProz2,IF(AND(A45&gt;=Param.DepotRenditeSpezBeginn3,A45&lt;=Param.DepotRenditeSpezEnde3),Param.DepotRenditeSpezProz3,IF(AND(A45&gt;=Param.DepotRenditeSpezBeginn4,A45&lt;=Param.DepotRenditeSpezEnde4),Param.DepotRenditeSpezProz4,IF(AND(A45&gt;=Param.DepotRenditeSpezBeginn5,A45&lt;=Param.DepotRenditeSpezEnde5),Param.DepotRenditeSpezProz5,Param.DepotRenditeDefault))))))^(1/12)-1</f>
        <v>0.00486755056533993979</v>
      </c>
      <c r="AP45" s="40">
        <f>BJ44</f>
        <v>167730.779669401149</v>
      </c>
      <c r="AQ45" s="40">
        <f aca="1">IF(A45&lt;Param.FireStartjahr,Param.SparrateFestgeldMonatl*12*(1+Param.SparrateDynamikJaehrl)^($A45-Param.Startjahr),0)</f>
        <v>0</v>
      </c>
      <c r="AR45" s="40">
        <f>O45</f>
        <v>0</v>
      </c>
      <c r="AS45" s="40">
        <f aca="1">IF(AND(Param.SonstigEinmaligKonto1="Festgeld",$A45=Param.SonstigEinmaligJahr1),Param.SonstigEinmaligBetrag1,0)</f>
        <v>0</v>
      </c>
      <c r="AT45" s="40">
        <f aca="1">IF(AND(Param.SonstigEinmaligKonto2="Festgeld",$A45=Param.SonstigEinmaligJahr2),Param.SonstigEinmaligBetrag2,0)</f>
        <v>0</v>
      </c>
      <c r="AU45" s="40">
        <f aca="1">IF(AND(Param.SonstigEinmaligKonto3="Festgeld",$A45=Param.SonstigEinmaligJahr3),Param.SonstigEinmaligBetrag3,0)</f>
        <v>0</v>
      </c>
      <c r="AV45" s="40">
        <f aca="1">IF(AND(Param.SonstigEinmaligKonto4="Festgeld",$A45=Param.SonstigEinmaligJahr4),Param.SonstigEinmaligBetrag4,0)</f>
        <v>0</v>
      </c>
      <c r="AW45" s="40">
        <f aca="1">IF(AND(Param.SonstigEinmaligKonto5="Festgeld",$A45=Param.SonstigEinmaligJahr5),Param.SonstigEinmaligBetrag5,0)</f>
        <v>0</v>
      </c>
      <c r="AX45" s="40">
        <f aca="1">IF(AND(Param.SonstigEinmaligKonto6="Festgeld",$A45=Param.SonstigEinmaligJahr6),Param.SonstigEinmaligBetrag6,0)</f>
        <v>0</v>
      </c>
      <c r="AY45" s="40">
        <f aca="1">IF(AND(Param.SonstigEinmaligKonto7="Festgeld",$A45=Param.SonstigEinmaligJahr7),Param.SonstigEinmaligBetrag7,0)</f>
        <v>0</v>
      </c>
      <c r="AZ45" s="40">
        <f aca="1">IF(AND(Param.SonstigEinmaligKonto8="Festgeld",$A45=Param.SonstigEinmaligJahr8),Param.SonstigEinmaligBetrag8,0)</f>
        <v>0</v>
      </c>
      <c r="BA45" s="40">
        <f aca="1">IF(AND(Param.SonstigEinmaligKonto9="Festgeld",$A45=Param.SonstigEinmaligJahr9),Param.SonstigEinmaligBetrag9,0)</f>
        <v>0</v>
      </c>
      <c r="BB45" s="40">
        <f aca="1">IF(AND(Param.SonstigEinmaligKonto10="Festgeld",$A45=Param.SonstigEinmaligJahr10),Param.SonstigEinmaligBetrag10,0)</f>
        <v>0</v>
      </c>
      <c r="BC45" s="40">
        <f aca="1">IF(AND(A45&gt;=Param.FireStartjahr,AP45&gt;0),MIN(N45*R45,AP45),0)</f>
        <v>11234.8205767545842</v>
      </c>
      <c r="BD45" s="5">
        <f aca="1">Param.FestgeldZinssatz</f>
        <v>0.02</v>
      </c>
      <c r="BE45" s="40">
        <f>(AP45+AQ45-BC45)*BD45</f>
        <v>3129.91918185291979</v>
      </c>
      <c r="BF45" s="40">
        <f aca="1">IF(BE45&gt;Param.SparerPauschbetrag,Param.SparerPauschbetrag,BE45)</f>
        <v>1000</v>
      </c>
      <c r="BG45" s="40">
        <f>BE45-BF45</f>
        <v>2129.91918185291979</v>
      </c>
      <c r="BH45" s="40">
        <f aca="1">BG45*Param.KapSt</f>
        <v>561.766184213707561</v>
      </c>
      <c r="BI45" s="40">
        <f>BE45-BH45</f>
        <v>2568.15299763921166</v>
      </c>
      <c r="BJ45" s="63">
        <f>AP45+SUM(AQ45:BB45)-BC45+BI45</f>
        <v>159064.112090285198</v>
      </c>
      <c r="BK45" s="40">
        <f>AL45+BJ45</f>
        <v>897817.081056551076</v>
      </c>
      <c r="BL45" s="40">
        <f aca="1">BK45/(1+Param.Inflationsrate)^(A45-Param.Startjahr)</f>
        <v>334374.57546443562</v>
      </c>
      <c r="BM45" s="52" t="str">
        <f>IF(BK45&lt;N45,A45,"")</f>
        <v/>
      </c>
      <c r="BN45" s="40">
        <f>AH45+BC45</f>
        <v>72296.179298744406</v>
      </c>
      <c r="BO45" s="40">
        <f>SUM(AR45:BB45)</f>
        <v>0</v>
      </c>
      <c r="BP45" s="40">
        <f>BN45+(-1*BO45)</f>
        <v>72296.179298744406</v>
      </c>
      <c r="BQ45" s="40">
        <f>AI45+BH45</f>
        <v>10851.4483312593075</v>
      </c>
      <c r="BR45" s="5">
        <f>IF(BK45&gt;0,BP45/BK45,0)</f>
        <v>0.080524397256584006</v>
      </c>
    </row>
    <row r="46" spans="1:70">
      <c r="A46">
        <f>A45+1</f>
        <v>2067</v>
      </c>
      <c r="B46">
        <f>B5+(42-1)</f>
        <v>71</v>
      </c>
      <c r="C46" s="10">
        <f aca="1">IF(A46&lt;Param.FireStartjahr,0,Param.EntnahmeBetragStart*(1+Param.Inflationsrate)^(A46-Param.Startjahr))</f>
        <v>82565.7130304913007</v>
      </c>
      <c r="D46" s="40">
        <f aca="1">IF(OR($A46&lt;Param.SonstigRegelmJahrBeginn1,$A46&gt;Param.SonstigRegelmJahrEnd1),0,Param.SonstigRegelmBetragJaehrl1*(1+Param.SonstigRegelmSteig1)^(A46-Param.SonstigRegelmJahrBeginn1))</f>
        <v>18730.8721800000021</v>
      </c>
      <c r="E46" s="40">
        <f aca="1">IF(OR($A46&lt;Param.SonstigRegelmJahrBeginn2,$A46&gt;Param.SonstigRegelmJahrEnd2),0,Param.SonstigRegelmBetragJaehrl2*(1+Param.SonstigRegelmSteig2)^($A46-Param.SonstigRegelmJahrBeginn2))</f>
        <v>0</v>
      </c>
      <c r="F46" s="40">
        <f aca="1">IF(OR($A46&lt;Param.SonstigRegelmJahrBeginn3,$A46&gt;Param.SonstigRegelmJahrEnd3),0,Param.SonstigRegelmBetragJaehrl3*(1+Param.SonstigRegelmSteig3)^($A46-Param.SonstigRegelmJahrBeginn3))</f>
        <v>0</v>
      </c>
      <c r="G46" s="40">
        <f aca="1">IF(OR($A46&lt;Param.SonstigRegelmJahrBeginn4,$A46&gt;Param.SonstigRegelmJahrEnd4),0,Param.SonstigRegelmBetragJaehrl4*(1+Param.SonstigRegelmSteig4)^($A46-Param.SonstigRegelmJahrBeginn4))</f>
        <v>0</v>
      </c>
      <c r="H46" s="40">
        <f aca="1">IF(OR($A46&lt;Param.SonstigRegelmJahrBeginn5,$A46&gt;Param.SonstigRegelmJahrEnd5),0,Param.SonstigRegelmBetragJaehrl5*(1+Param.SonstigRegelmSteig5)^($A46-Param.SonstigRegelmJahrBeginn5))</f>
        <v>0</v>
      </c>
      <c r="I46" s="40">
        <f aca="1">IF(OR($A46&lt;Param.SonstigRegelmJahrBeginn6,$A46&gt;Param.SonstigRegelmJahrEnd6),0,Param.SonstigRegelmBetragJaehrl6*(1+Param.SonstigRegelmSteig6)^($A46-Param.SonstigRegelmJahrBeginn6))</f>
        <v>0</v>
      </c>
      <c r="J46" s="40">
        <f aca="1">IF(OR($A46&lt;Param.SonstigRegelmJahrBeginn7,$A46&gt;Param.SonstigRegelmJahrEnd7),0,Param.SonstigRegelmBetragJaehrl7*(1+Param.SonstigRegelmSteig7)^($A46-Param.SonstigRegelmJahrBeginn7))</f>
        <v>0</v>
      </c>
      <c r="K46" s="40">
        <f aca="1">IF(OR($A46&lt;Param.SonstigRegelmJahrBeginn8,$A46&gt;Param.SonstigRegelmJahrEnd8),0,Param.SonstigRegelmBetragJaehrl8*(1+Param.SonstigRegelmSteig8)^($A46-Param.SonstigRegelmJahrBeginn8))</f>
        <v>0</v>
      </c>
      <c r="L46" s="40">
        <f aca="1">IF(OR($A46&lt;Param.SonstigRegelmJahrBeginn9,$A46&gt;Param.SonstigRegelmJahrEnd9),0,Param.SonstigRegelmBetragJaehrl9*(1+Param.SonstigRegelmSteig9)^($A46-Param.SonstigRegelmJahrBeginn9))</f>
        <v>0</v>
      </c>
      <c r="M46" s="40">
        <f aca="1">IF(OR($A46&lt;Param.SonstigRegelmJahrBeginn10,$A46&gt;Param.SonstigRegelmJahrEnd10),0,Param.SonstigRegelmBetragJaehrl10*(1+Param.SonstigRegelmSteig10)^($A46-Param.SonstigRegelmJahrBeginn10))</f>
        <v>0</v>
      </c>
      <c r="N46" s="10">
        <f>MAX(0,C46-SUM(D46:M46))</f>
        <v>63834.8408504913023</v>
      </c>
      <c r="O46" s="10">
        <f>IF(N46&lt;=0,SUM(D46:M46)-C46,0)</f>
        <v>0</v>
      </c>
      <c r="P46" s="10">
        <f>S46+AP46</f>
        <v>897817.081056551076</v>
      </c>
      <c r="Q46" s="11">
        <f>IF(P46&gt;0,S46/P46,0)</f>
        <v>0.822832383737789641</v>
      </c>
      <c r="R46" s="11">
        <f>IF(P46&gt;0,AP46/P46,0)</f>
        <v>0.177167616262210537</v>
      </c>
      <c r="S46" s="10">
        <f>AL45</f>
        <v>738752.968966265675</v>
      </c>
      <c r="T46" s="40">
        <f>AM45</f>
        <v>677935.19652503205</v>
      </c>
      <c r="U46" s="40">
        <f aca="1">IF(A46&lt;Param.FireStartjahr,Param.SparrateDepotMonatl*12*(1+Param.SparrateDynamikJaehrl)^($A46-Param.Startjahr),0)</f>
        <v>0</v>
      </c>
      <c r="V46" s="40">
        <f aca="1">IF(AND(Param.SonstigEinmaligKonto1="Depot",$A46=Param.SonstigEinmaligJahr1),Param.SonstigEinmaligBetrag1,0)</f>
        <v>0</v>
      </c>
      <c r="W46" s="40">
        <f aca="1">IF(AND(Param.SonstigEinmaligKonto2="Depot",$A46=Param.SonstigEinmaligJahr2),Param.SonstigEinmaligBetrag2,0)</f>
        <v>0</v>
      </c>
      <c r="X46" s="40">
        <f aca="1">IF(AND(Param.SonstigEinmaligKonto3="Depot",$A46=Param.SonstigEinmaligJahr3),Param.SonstigEinmaligBetrag3,0)</f>
        <v>0</v>
      </c>
      <c r="Y46" s="40">
        <f aca="1">IF(AND(Param.SonstigEinmaligKonto4="Depot",$A46=Param.SonstigEinmaligJahr4),Param.SonstigEinmaligBetrag4,0)</f>
        <v>0</v>
      </c>
      <c r="Z46" s="40">
        <f aca="1">IF(AND(Param.SonstigEinmaligKonto5="Depot",$A46=Param.SonstigEinmaligJahr5),Param.SonstigEinmaligBetrag5,0)</f>
        <v>0</v>
      </c>
      <c r="AA46" s="40">
        <f aca="1">IF(AND(Param.SonstigEinmaligKonto6="Depot",$A46=Param.SonstigEinmaligJahr6),Param.SonstigEinmaligBetrag6,0)</f>
        <v>0</v>
      </c>
      <c r="AB46" s="40">
        <f aca="1">IF(AND(Param.SonstigEinmaligKonto7="Depot",$A46=Param.SonstigEinmaligJahr7),Param.SonstigEinmaligBetrag7,0)</f>
        <v>0</v>
      </c>
      <c r="AC46" s="40">
        <f aca="1">IF(AND(Param.SonstigEinmaligKonto8="Depot",$A46=Param.SonstigEinmaligJahr8),Param.SonstigEinmaligBetrag8,0)</f>
        <v>0</v>
      </c>
      <c r="AD46" s="40">
        <f aca="1">IF(AND(Param.SonstigEinmaligKonto9="Depot",$A46=Param.SonstigEinmaligJahr9),Param.SonstigEinmaligBetrag9,0)</f>
        <v>0</v>
      </c>
      <c r="AE46" s="40">
        <f aca="1">IF(AND(Param.SonstigEinmaligKonto10="Depot",$A46=Param.SonstigEinmaligJahr10),Param.SonstigEinmaligBetrag10,0)</f>
        <v>0</v>
      </c>
      <c r="AF46" s="40">
        <f aca="1">Param.SparerPauschbetrag-BF46</f>
        <v>0</v>
      </c>
      <c r="AG46" s="40">
        <f aca="1">IF(AND(A46&gt;=Param.FireStartjahr,S46&gt;0),MIN(N46*Q46,S46),0)</f>
        <v>52525.374262532212</v>
      </c>
      <c r="AH46" s="40">
        <f aca="1">IF(AG46&lt;=0,0,IF(S46&lt;=0,0,AG46/(1-MAX(0,((T46/S46)*(1-Param.Teilfreistellung)-MIN(AF46,AG46)/AG46)*Param.KapSt))))</f>
        <v>63239.8308805302586</v>
      </c>
      <c r="AI46" s="40">
        <f>AH46-AG46</f>
        <v>10714.4566179981048</v>
      </c>
      <c r="AJ46" s="40">
        <f>T46-AH46*(T46/S46)</f>
        <v>619901.579095117049</v>
      </c>
      <c r="AK46" s="40">
        <f>S46-AH46</f>
        <v>675513.138085735729</v>
      </c>
      <c r="AL46" s="40">
        <f>FV(AO46,12,-(U46/12),-AK46,0)</f>
        <v>716043.926370853325</v>
      </c>
      <c r="AM46" s="40">
        <f>AJ46+AL46-AK46-U46</f>
        <v>660432.367380233947</v>
      </c>
      <c r="AN46" s="5">
        <f>AM46/AL46</f>
        <v>0.922334989596969557</v>
      </c>
      <c r="AO46" s="5">
        <f aca="1">(1+IF(AND(A46&gt;=Param.DepotRenditeSpezBeginn1,A46&lt;=Param.DepotRenditeSpezEnde1),Param.DepotRenditeSpezProz1,IF(AND(A46&gt;=Param.DepotRenditeSpezBeginn2,A46&lt;=Param.DepotRenditeSpezEnde2),Param.DepotRenditeSpezProz2,IF(AND(A46&gt;=Param.DepotRenditeSpezBeginn3,A46&lt;=Param.DepotRenditeSpezEnde3),Param.DepotRenditeSpezProz3,IF(AND(A46&gt;=Param.DepotRenditeSpezBeginn4,A46&lt;=Param.DepotRenditeSpezEnde4),Param.DepotRenditeSpezProz4,IF(AND(A46&gt;=Param.DepotRenditeSpezBeginn5,A46&lt;=Param.DepotRenditeSpezEnde5),Param.DepotRenditeSpezProz5,Param.DepotRenditeDefault))))))^(1/12)-1</f>
        <v>0.00486755056533993979</v>
      </c>
      <c r="AP46" s="40">
        <f>BJ45</f>
        <v>159064.112090285198</v>
      </c>
      <c r="AQ46" s="40">
        <f aca="1">IF(A46&lt;Param.FireStartjahr,Param.SparrateFestgeldMonatl*12*(1+Param.SparrateDynamikJaehrl)^($A46-Param.Startjahr),0)</f>
        <v>0</v>
      </c>
      <c r="AR46" s="40">
        <f>O46</f>
        <v>0</v>
      </c>
      <c r="AS46" s="40">
        <f aca="1">IF(AND(Param.SonstigEinmaligKonto1="Festgeld",$A46=Param.SonstigEinmaligJahr1),Param.SonstigEinmaligBetrag1,0)</f>
        <v>0</v>
      </c>
      <c r="AT46" s="40">
        <f aca="1">IF(AND(Param.SonstigEinmaligKonto2="Festgeld",$A46=Param.SonstigEinmaligJahr2),Param.SonstigEinmaligBetrag2,0)</f>
        <v>0</v>
      </c>
      <c r="AU46" s="40">
        <f aca="1">IF(AND(Param.SonstigEinmaligKonto3="Festgeld",$A46=Param.SonstigEinmaligJahr3),Param.SonstigEinmaligBetrag3,0)</f>
        <v>0</v>
      </c>
      <c r="AV46" s="40">
        <f aca="1">IF(AND(Param.SonstigEinmaligKonto4="Festgeld",$A46=Param.SonstigEinmaligJahr4),Param.SonstigEinmaligBetrag4,0)</f>
        <v>0</v>
      </c>
      <c r="AW46" s="40">
        <f aca="1">IF(AND(Param.SonstigEinmaligKonto5="Festgeld",$A46=Param.SonstigEinmaligJahr5),Param.SonstigEinmaligBetrag5,0)</f>
        <v>0</v>
      </c>
      <c r="AX46" s="40">
        <f aca="1">IF(AND(Param.SonstigEinmaligKonto6="Festgeld",$A46=Param.SonstigEinmaligJahr6),Param.SonstigEinmaligBetrag6,0)</f>
        <v>0</v>
      </c>
      <c r="AY46" s="40">
        <f aca="1">IF(AND(Param.SonstigEinmaligKonto7="Festgeld",$A46=Param.SonstigEinmaligJahr7),Param.SonstigEinmaligBetrag7,0)</f>
        <v>0</v>
      </c>
      <c r="AZ46" s="40">
        <f aca="1">IF(AND(Param.SonstigEinmaligKonto8="Festgeld",$A46=Param.SonstigEinmaligJahr8),Param.SonstigEinmaligBetrag8,0)</f>
        <v>0</v>
      </c>
      <c r="BA46" s="40">
        <f aca="1">IF(AND(Param.SonstigEinmaligKonto9="Festgeld",$A46=Param.SonstigEinmaligJahr9),Param.SonstigEinmaligBetrag9,0)</f>
        <v>0</v>
      </c>
      <c r="BB46" s="40">
        <f aca="1">IF(AND(Param.SonstigEinmaligKonto10="Festgeld",$A46=Param.SonstigEinmaligJahr10),Param.SonstigEinmaligBetrag10,0)</f>
        <v>0</v>
      </c>
      <c r="BC46" s="40">
        <f aca="1">IF(AND(A46&gt;=Param.FireStartjahr,AP46&gt;0),MIN(N46*R46,AP46),0)</f>
        <v>11309.4665879591539</v>
      </c>
      <c r="BD46" s="5">
        <f aca="1">Param.FestgeldZinssatz</f>
        <v>0.02</v>
      </c>
      <c r="BE46" s="40">
        <f>(AP46+AQ46-BC46)*BD46</f>
        <v>2955.09291004652005</v>
      </c>
      <c r="BF46" s="40">
        <f aca="1">IF(BE46&gt;Param.SparerPauschbetrag,Param.SparerPauschbetrag,BE46)</f>
        <v>1000</v>
      </c>
      <c r="BG46" s="40">
        <f>BE46-BF46</f>
        <v>1955.09291004652005</v>
      </c>
      <c r="BH46" s="40">
        <f aca="1">BG46*Param.KapSt</f>
        <v>515.655755024769633</v>
      </c>
      <c r="BI46" s="40">
        <f>BE46-BH46</f>
        <v>2439.43715502175019</v>
      </c>
      <c r="BJ46" s="63">
        <f>AP46+SUM(AQ46:BB46)-BC46+BI46</f>
        <v>150194.082657347753</v>
      </c>
      <c r="BK46" s="40">
        <f>AL46+BJ46</f>
        <v>866238.009028200991</v>
      </c>
      <c r="BL46" s="40">
        <f aca="1">BK46/(1+Param.Inflationsrate)^(A46-Param.Startjahr)</f>
        <v>314744.938510360196</v>
      </c>
      <c r="BM46" s="52" t="str">
        <f>IF(BK46&lt;N46,A46,"")</f>
        <v/>
      </c>
      <c r="BN46" s="40">
        <f>AH46+BC46</f>
        <v>74549.2974684895016</v>
      </c>
      <c r="BO46" s="40">
        <f>SUM(AR46:BB46)</f>
        <v>0</v>
      </c>
      <c r="BP46" s="40">
        <f>BN46+(-1*BO46)</f>
        <v>74549.2974684895016</v>
      </c>
      <c r="BQ46" s="40">
        <f>AI46+BH46</f>
        <v>11230.1123730228701</v>
      </c>
      <c r="BR46" s="5">
        <f>IF(BK46&gt;0,BP46/BK46,0)</f>
        <v>0.0860609863473013448</v>
      </c>
    </row>
    <row r="47" spans="1:70">
      <c r="A47">
        <f>A46+1</f>
        <v>2068</v>
      </c>
      <c r="B47">
        <f>B5+(43-1)</f>
        <v>72</v>
      </c>
      <c r="C47" s="10">
        <f aca="1">IF(A47&lt;Param.FireStartjahr,0,Param.EntnahmeBetragStart*(1+Param.Inflationsrate)^(A47-Param.Startjahr))</f>
        <v>84629.8558562537946</v>
      </c>
      <c r="D47" s="40">
        <f aca="1">IF(OR($A47&lt;Param.SonstigRegelmJahrBeginn1,$A47&gt;Param.SonstigRegelmJahrEnd1),0,Param.SonstigRegelmBetragJaehrl1*(1+Param.SonstigRegelmSteig1)^(A47-Param.SonstigRegelmJahrBeginn1))</f>
        <v>18918.1809017999985</v>
      </c>
      <c r="E47" s="40">
        <f aca="1">IF(OR($A47&lt;Param.SonstigRegelmJahrBeginn2,$A47&gt;Param.SonstigRegelmJahrEnd2),0,Param.SonstigRegelmBetragJaehrl2*(1+Param.SonstigRegelmSteig2)^($A47-Param.SonstigRegelmJahrBeginn2))</f>
        <v>0</v>
      </c>
      <c r="F47" s="40">
        <f aca="1">IF(OR($A47&lt;Param.SonstigRegelmJahrBeginn3,$A47&gt;Param.SonstigRegelmJahrEnd3),0,Param.SonstigRegelmBetragJaehrl3*(1+Param.SonstigRegelmSteig3)^($A47-Param.SonstigRegelmJahrBeginn3))</f>
        <v>0</v>
      </c>
      <c r="G47" s="40">
        <f aca="1">IF(OR($A47&lt;Param.SonstigRegelmJahrBeginn4,$A47&gt;Param.SonstigRegelmJahrEnd4),0,Param.SonstigRegelmBetragJaehrl4*(1+Param.SonstigRegelmSteig4)^($A47-Param.SonstigRegelmJahrBeginn4))</f>
        <v>0</v>
      </c>
      <c r="H47" s="40">
        <f aca="1">IF(OR($A47&lt;Param.SonstigRegelmJahrBeginn5,$A47&gt;Param.SonstigRegelmJahrEnd5),0,Param.SonstigRegelmBetragJaehrl5*(1+Param.SonstigRegelmSteig5)^($A47-Param.SonstigRegelmJahrBeginn5))</f>
        <v>0</v>
      </c>
      <c r="I47" s="40">
        <f aca="1">IF(OR($A47&lt;Param.SonstigRegelmJahrBeginn6,$A47&gt;Param.SonstigRegelmJahrEnd6),0,Param.SonstigRegelmBetragJaehrl6*(1+Param.SonstigRegelmSteig6)^($A47-Param.SonstigRegelmJahrBeginn6))</f>
        <v>0</v>
      </c>
      <c r="J47" s="40">
        <f aca="1">IF(OR($A47&lt;Param.SonstigRegelmJahrBeginn7,$A47&gt;Param.SonstigRegelmJahrEnd7),0,Param.SonstigRegelmBetragJaehrl7*(1+Param.SonstigRegelmSteig7)^($A47-Param.SonstigRegelmJahrBeginn7))</f>
        <v>0</v>
      </c>
      <c r="K47" s="40">
        <f aca="1">IF(OR($A47&lt;Param.SonstigRegelmJahrBeginn8,$A47&gt;Param.SonstigRegelmJahrEnd8),0,Param.SonstigRegelmBetragJaehrl8*(1+Param.SonstigRegelmSteig8)^($A47-Param.SonstigRegelmJahrBeginn8))</f>
        <v>0</v>
      </c>
      <c r="L47" s="40">
        <f aca="1">IF(OR($A47&lt;Param.SonstigRegelmJahrBeginn9,$A47&gt;Param.SonstigRegelmJahrEnd9),0,Param.SonstigRegelmBetragJaehrl9*(1+Param.SonstigRegelmSteig9)^($A47-Param.SonstigRegelmJahrBeginn9))</f>
        <v>0</v>
      </c>
      <c r="M47" s="40">
        <f aca="1">IF(OR($A47&lt;Param.SonstigRegelmJahrBeginn10,$A47&gt;Param.SonstigRegelmJahrEnd10),0,Param.SonstigRegelmBetragJaehrl10*(1+Param.SonstigRegelmSteig10)^($A47-Param.SonstigRegelmJahrBeginn10))</f>
        <v>0</v>
      </c>
      <c r="N47" s="10">
        <f>MAX(0,C47-SUM(D47:M47))</f>
        <v>65711.6749544538034</v>
      </c>
      <c r="O47" s="10">
        <f>IF(N47&lt;=0,SUM(D47:M47)-C47,0)</f>
        <v>0</v>
      </c>
      <c r="P47" s="10">
        <f>S47+AP47</f>
        <v>866238.009028200991</v>
      </c>
      <c r="Q47" s="11">
        <f>IF(P47&gt;0,S47/P47,0)</f>
        <v>0.826613377510593317</v>
      </c>
      <c r="R47" s="11">
        <f>IF(P47&gt;0,AP47/P47,0)</f>
        <v>0.173386622489406728</v>
      </c>
      <c r="S47" s="10">
        <f>AL46</f>
        <v>716043.926370853325</v>
      </c>
      <c r="T47" s="40">
        <f>AM46</f>
        <v>660432.367380233947</v>
      </c>
      <c r="U47" s="40">
        <f aca="1">IF(A47&lt;Param.FireStartjahr,Param.SparrateDepotMonatl*12*(1+Param.SparrateDynamikJaehrl)^($A47-Param.Startjahr),0)</f>
        <v>0</v>
      </c>
      <c r="V47" s="40">
        <f aca="1">IF(AND(Param.SonstigEinmaligKonto1="Depot",$A47=Param.SonstigEinmaligJahr1),Param.SonstigEinmaligBetrag1,0)</f>
        <v>0</v>
      </c>
      <c r="W47" s="40">
        <f aca="1">IF(AND(Param.SonstigEinmaligKonto2="Depot",$A47=Param.SonstigEinmaligJahr2),Param.SonstigEinmaligBetrag2,0)</f>
        <v>0</v>
      </c>
      <c r="X47" s="40">
        <f aca="1">IF(AND(Param.SonstigEinmaligKonto3="Depot",$A47=Param.SonstigEinmaligJahr3),Param.SonstigEinmaligBetrag3,0)</f>
        <v>0</v>
      </c>
      <c r="Y47" s="40">
        <f aca="1">IF(AND(Param.SonstigEinmaligKonto4="Depot",$A47=Param.SonstigEinmaligJahr4),Param.SonstigEinmaligBetrag4,0)</f>
        <v>0</v>
      </c>
      <c r="Z47" s="40">
        <f aca="1">IF(AND(Param.SonstigEinmaligKonto5="Depot",$A47=Param.SonstigEinmaligJahr5),Param.SonstigEinmaligBetrag5,0)</f>
        <v>0</v>
      </c>
      <c r="AA47" s="40">
        <f aca="1">IF(AND(Param.SonstigEinmaligKonto6="Depot",$A47=Param.SonstigEinmaligJahr6),Param.SonstigEinmaligBetrag6,0)</f>
        <v>0</v>
      </c>
      <c r="AB47" s="40">
        <f aca="1">IF(AND(Param.SonstigEinmaligKonto7="Depot",$A47=Param.SonstigEinmaligJahr7),Param.SonstigEinmaligBetrag7,0)</f>
        <v>0</v>
      </c>
      <c r="AC47" s="40">
        <f aca="1">IF(AND(Param.SonstigEinmaligKonto8="Depot",$A47=Param.SonstigEinmaligJahr8),Param.SonstigEinmaligBetrag8,0)</f>
        <v>0</v>
      </c>
      <c r="AD47" s="40">
        <f aca="1">IF(AND(Param.SonstigEinmaligKonto9="Depot",$A47=Param.SonstigEinmaligJahr9),Param.SonstigEinmaligBetrag9,0)</f>
        <v>0</v>
      </c>
      <c r="AE47" s="40">
        <f aca="1">IF(AND(Param.SonstigEinmaligKonto10="Depot",$A47=Param.SonstigEinmaligJahr10),Param.SonstigEinmaligBetrag10,0)</f>
        <v>0</v>
      </c>
      <c r="AF47" s="40">
        <f aca="1">Param.SparerPauschbetrag-BF47</f>
        <v>0</v>
      </c>
      <c r="AG47" s="40">
        <f aca="1">IF(AND(A47&gt;=Param.FireStartjahr,S47&gt;0),MIN(N47*Q47,S47),0)</f>
        <v>54318.1495759793033</v>
      </c>
      <c r="AH47" s="40">
        <f aca="1">IF(AG47&lt;=0,0,IF(S47&lt;=0,0,AG47/(1-MAX(0,((T47/S47)*(1-Param.Teilfreistellung)-MIN(AF47,AG47)/AG47)*Param.KapSt))))</f>
        <v>65466.1195977612078</v>
      </c>
      <c r="AI47" s="40">
        <f>AH47-AG47</f>
        <v>11147.9700217818972</v>
      </c>
      <c r="AJ47" s="40">
        <f>T47-AH47*(T47/S47)</f>
        <v>600050.674642078811</v>
      </c>
      <c r="AK47" s="40">
        <f>S47-AH47</f>
        <v>650577.806773091783</v>
      </c>
      <c r="AL47" s="40">
        <f>FV(AO47,12,-(U47/12),-AK47,0)</f>
        <v>689612.475179451751</v>
      </c>
      <c r="AM47" s="40">
        <f>AJ47+AL47-AK47-U47</f>
        <v>639085.343048437964</v>
      </c>
      <c r="AN47" s="5">
        <f>AM47/AL47</f>
        <v>0.926731122261287688</v>
      </c>
      <c r="AO47" s="5">
        <f aca="1">(1+IF(AND(A47&gt;=Param.DepotRenditeSpezBeginn1,A47&lt;=Param.DepotRenditeSpezEnde1),Param.DepotRenditeSpezProz1,IF(AND(A47&gt;=Param.DepotRenditeSpezBeginn2,A47&lt;=Param.DepotRenditeSpezEnde2),Param.DepotRenditeSpezProz2,IF(AND(A47&gt;=Param.DepotRenditeSpezBeginn3,A47&lt;=Param.DepotRenditeSpezEnde3),Param.DepotRenditeSpezProz3,IF(AND(A47&gt;=Param.DepotRenditeSpezBeginn4,A47&lt;=Param.DepotRenditeSpezEnde4),Param.DepotRenditeSpezProz4,IF(AND(A47&gt;=Param.DepotRenditeSpezBeginn5,A47&lt;=Param.DepotRenditeSpezEnde5),Param.DepotRenditeSpezProz5,Param.DepotRenditeDefault))))))^(1/12)-1</f>
        <v>0.00486755056533993979</v>
      </c>
      <c r="AP47" s="40">
        <f>BJ46</f>
        <v>150194.082657347753</v>
      </c>
      <c r="AQ47" s="40">
        <f aca="1">IF(A47&lt;Param.FireStartjahr,Param.SparrateFestgeldMonatl*12*(1+Param.SparrateDynamikJaehrl)^($A47-Param.Startjahr),0)</f>
        <v>0</v>
      </c>
      <c r="AR47" s="40">
        <f>O47</f>
        <v>0</v>
      </c>
      <c r="AS47" s="40">
        <f aca="1">IF(AND(Param.SonstigEinmaligKonto1="Festgeld",$A47=Param.SonstigEinmaligJahr1),Param.SonstigEinmaligBetrag1,0)</f>
        <v>0</v>
      </c>
      <c r="AT47" s="40">
        <f aca="1">IF(AND(Param.SonstigEinmaligKonto2="Festgeld",$A47=Param.SonstigEinmaligJahr2),Param.SonstigEinmaligBetrag2,0)</f>
        <v>0</v>
      </c>
      <c r="AU47" s="40">
        <f aca="1">IF(AND(Param.SonstigEinmaligKonto3="Festgeld",$A47=Param.SonstigEinmaligJahr3),Param.SonstigEinmaligBetrag3,0)</f>
        <v>0</v>
      </c>
      <c r="AV47" s="40">
        <f aca="1">IF(AND(Param.SonstigEinmaligKonto4="Festgeld",$A47=Param.SonstigEinmaligJahr4),Param.SonstigEinmaligBetrag4,0)</f>
        <v>0</v>
      </c>
      <c r="AW47" s="40">
        <f aca="1">IF(AND(Param.SonstigEinmaligKonto5="Festgeld",$A47=Param.SonstigEinmaligJahr5),Param.SonstigEinmaligBetrag5,0)</f>
        <v>0</v>
      </c>
      <c r="AX47" s="40">
        <f aca="1">IF(AND(Param.SonstigEinmaligKonto6="Festgeld",$A47=Param.SonstigEinmaligJahr6),Param.SonstigEinmaligBetrag6,0)</f>
        <v>0</v>
      </c>
      <c r="AY47" s="40">
        <f aca="1">IF(AND(Param.SonstigEinmaligKonto7="Festgeld",$A47=Param.SonstigEinmaligJahr7),Param.SonstigEinmaligBetrag7,0)</f>
        <v>0</v>
      </c>
      <c r="AZ47" s="40">
        <f aca="1">IF(AND(Param.SonstigEinmaligKonto8="Festgeld",$A47=Param.SonstigEinmaligJahr8),Param.SonstigEinmaligBetrag8,0)</f>
        <v>0</v>
      </c>
      <c r="BA47" s="40">
        <f aca="1">IF(AND(Param.SonstigEinmaligKonto9="Festgeld",$A47=Param.SonstigEinmaligJahr9),Param.SonstigEinmaligBetrag9,0)</f>
        <v>0</v>
      </c>
      <c r="BB47" s="40">
        <f aca="1">IF(AND(Param.SonstigEinmaligKonto10="Festgeld",$A47=Param.SonstigEinmaligJahr10),Param.SonstigEinmaligBetrag10,0)</f>
        <v>0</v>
      </c>
      <c r="BC47" s="40">
        <f aca="1">IF(AND(A47&gt;=Param.FireStartjahr,AP47&gt;0),MIN(N47*R47,AP47),0)</f>
        <v>11393.5253784745037</v>
      </c>
      <c r="BD47" s="5">
        <f aca="1">Param.FestgeldZinssatz</f>
        <v>0.02</v>
      </c>
      <c r="BE47" s="40">
        <f>(AP47+AQ47-BC47)*BD47</f>
        <v>2776.01114557748042</v>
      </c>
      <c r="BF47" s="40">
        <f aca="1">IF(BE47&gt;Param.SparerPauschbetrag,Param.SparerPauschbetrag,BE47)</f>
        <v>1000</v>
      </c>
      <c r="BG47" s="40">
        <f>BE47-BF47</f>
        <v>1776.01114557747997</v>
      </c>
      <c r="BH47" s="40">
        <f aca="1">BG47*Param.KapSt</f>
        <v>468.422939646060286</v>
      </c>
      <c r="BI47" s="40">
        <f>BE47-BH47</f>
        <v>2307.58820593141991</v>
      </c>
      <c r="BJ47" s="63">
        <f>AP47+SUM(AQ47:BB47)-BC47+BI47</f>
        <v>141108.145484805427</v>
      </c>
      <c r="BK47" s="40">
        <f>AL47+BJ47</f>
        <v>830720.620664256974</v>
      </c>
      <c r="BL47" s="40">
        <f aca="1">BK47/(1+Param.Inflationsrate)^(A47-Param.Startjahr)</f>
        <v>294477.857344549673</v>
      </c>
      <c r="BM47" s="52" t="str">
        <f>IF(BK47&lt;N47,A47,"")</f>
        <v/>
      </c>
      <c r="BN47" s="40">
        <f>AH47+BC47</f>
        <v>76859.6449762356933</v>
      </c>
      <c r="BO47" s="40">
        <f>SUM(AR47:BB47)</f>
        <v>0</v>
      </c>
      <c r="BP47" s="40">
        <f>BN47+(-1*BO47)</f>
        <v>76859.6449762356933</v>
      </c>
      <c r="BQ47" s="40">
        <f>AI47+BH47</f>
        <v>11616.3929614279605</v>
      </c>
      <c r="BR47" s="5">
        <f>IF(BK47&gt;0,BP47/BK47,0)</f>
        <v>0.0925216529653224917</v>
      </c>
    </row>
    <row r="48" spans="1:70">
      <c r="A48">
        <f>A47+1</f>
        <v>2069</v>
      </c>
      <c r="B48">
        <f>B5+(44-1)</f>
        <v>73</v>
      </c>
      <c r="C48" s="10">
        <f aca="1">IF(A48&lt;Param.FireStartjahr,0,Param.EntnahmeBetragStart*(1+Param.Inflationsrate)^(A48-Param.Startjahr))</f>
        <v>86745.6022526601009</v>
      </c>
      <c r="D48" s="40">
        <f aca="1">IF(OR($A48&lt;Param.SonstigRegelmJahrBeginn1,$A48&gt;Param.SonstigRegelmJahrEnd1),0,Param.SonstigRegelmBetragJaehrl1*(1+Param.SonstigRegelmSteig1)^(A48-Param.SonstigRegelmJahrBeginn1))</f>
        <v>19107.3627108179971</v>
      </c>
      <c r="E48" s="40">
        <f aca="1">IF(OR($A48&lt;Param.SonstigRegelmJahrBeginn2,$A48&gt;Param.SonstigRegelmJahrEnd2),0,Param.SonstigRegelmBetragJaehrl2*(1+Param.SonstigRegelmSteig2)^($A48-Param.SonstigRegelmJahrBeginn2))</f>
        <v>0</v>
      </c>
      <c r="F48" s="40">
        <f aca="1">IF(OR($A48&lt;Param.SonstigRegelmJahrBeginn3,$A48&gt;Param.SonstigRegelmJahrEnd3),0,Param.SonstigRegelmBetragJaehrl3*(1+Param.SonstigRegelmSteig3)^($A48-Param.SonstigRegelmJahrBeginn3))</f>
        <v>0</v>
      </c>
      <c r="G48" s="40">
        <f aca="1">IF(OR($A48&lt;Param.SonstigRegelmJahrBeginn4,$A48&gt;Param.SonstigRegelmJahrEnd4),0,Param.SonstigRegelmBetragJaehrl4*(1+Param.SonstigRegelmSteig4)^($A48-Param.SonstigRegelmJahrBeginn4))</f>
        <v>0</v>
      </c>
      <c r="H48" s="40">
        <f aca="1">IF(OR($A48&lt;Param.SonstigRegelmJahrBeginn5,$A48&gt;Param.SonstigRegelmJahrEnd5),0,Param.SonstigRegelmBetragJaehrl5*(1+Param.SonstigRegelmSteig5)^($A48-Param.SonstigRegelmJahrBeginn5))</f>
        <v>0</v>
      </c>
      <c r="I48" s="40">
        <f aca="1">IF(OR($A48&lt;Param.SonstigRegelmJahrBeginn6,$A48&gt;Param.SonstigRegelmJahrEnd6),0,Param.SonstigRegelmBetragJaehrl6*(1+Param.SonstigRegelmSteig6)^($A48-Param.SonstigRegelmJahrBeginn6))</f>
        <v>0</v>
      </c>
      <c r="J48" s="40">
        <f aca="1">IF(OR($A48&lt;Param.SonstigRegelmJahrBeginn7,$A48&gt;Param.SonstigRegelmJahrEnd7),0,Param.SonstigRegelmBetragJaehrl7*(1+Param.SonstigRegelmSteig7)^($A48-Param.SonstigRegelmJahrBeginn7))</f>
        <v>0</v>
      </c>
      <c r="K48" s="40">
        <f aca="1">IF(OR($A48&lt;Param.SonstigRegelmJahrBeginn8,$A48&gt;Param.SonstigRegelmJahrEnd8),0,Param.SonstigRegelmBetragJaehrl8*(1+Param.SonstigRegelmSteig8)^($A48-Param.SonstigRegelmJahrBeginn8))</f>
        <v>0</v>
      </c>
      <c r="L48" s="40">
        <f aca="1">IF(OR($A48&lt;Param.SonstigRegelmJahrBeginn9,$A48&gt;Param.SonstigRegelmJahrEnd9),0,Param.SonstigRegelmBetragJaehrl9*(1+Param.SonstigRegelmSteig9)^($A48-Param.SonstigRegelmJahrBeginn9))</f>
        <v>0</v>
      </c>
      <c r="M48" s="40">
        <f aca="1">IF(OR($A48&lt;Param.SonstigRegelmJahrBeginn10,$A48&gt;Param.SonstigRegelmJahrEnd10),0,Param.SonstigRegelmBetragJaehrl10*(1+Param.SonstigRegelmSteig10)^($A48-Param.SonstigRegelmJahrBeginn10))</f>
        <v>0</v>
      </c>
      <c r="N48" s="10">
        <f>MAX(0,C48-SUM(D48:M48))</f>
        <v>67638.2395418421074</v>
      </c>
      <c r="O48" s="10">
        <f>IF(N48&lt;=0,SUM(D48:M48)-C48,0)</f>
        <v>0</v>
      </c>
      <c r="P48" s="10">
        <f>S48+AP48</f>
        <v>830720.620664256974</v>
      </c>
      <c r="Q48" s="11">
        <f>IF(P48&gt;0,S48/P48,0)</f>
        <v>0.830137663644399737</v>
      </c>
      <c r="R48" s="11">
        <f>IF(P48&gt;0,AP48/P48,0)</f>
        <v>0.169862336355600219</v>
      </c>
      <c r="S48" s="10">
        <f>AL47</f>
        <v>689612.475179451751</v>
      </c>
      <c r="T48" s="40">
        <f>AM47</f>
        <v>639085.343048437964</v>
      </c>
      <c r="U48" s="40">
        <f aca="1">IF(A48&lt;Param.FireStartjahr,Param.SparrateDepotMonatl*12*(1+Param.SparrateDynamikJaehrl)^($A48-Param.Startjahr),0)</f>
        <v>0</v>
      </c>
      <c r="V48" s="40">
        <f aca="1">IF(AND(Param.SonstigEinmaligKonto1="Depot",$A48=Param.SonstigEinmaligJahr1),Param.SonstigEinmaligBetrag1,0)</f>
        <v>0</v>
      </c>
      <c r="W48" s="40">
        <f aca="1">IF(AND(Param.SonstigEinmaligKonto2="Depot",$A48=Param.SonstigEinmaligJahr2),Param.SonstigEinmaligBetrag2,0)</f>
        <v>0</v>
      </c>
      <c r="X48" s="40">
        <f aca="1">IF(AND(Param.SonstigEinmaligKonto3="Depot",$A48=Param.SonstigEinmaligJahr3),Param.SonstigEinmaligBetrag3,0)</f>
        <v>0</v>
      </c>
      <c r="Y48" s="40">
        <f aca="1">IF(AND(Param.SonstigEinmaligKonto4="Depot",$A48=Param.SonstigEinmaligJahr4),Param.SonstigEinmaligBetrag4,0)</f>
        <v>0</v>
      </c>
      <c r="Z48" s="40">
        <f aca="1">IF(AND(Param.SonstigEinmaligKonto5="Depot",$A48=Param.SonstigEinmaligJahr5),Param.SonstigEinmaligBetrag5,0)</f>
        <v>0</v>
      </c>
      <c r="AA48" s="40">
        <f aca="1">IF(AND(Param.SonstigEinmaligKonto6="Depot",$A48=Param.SonstigEinmaligJahr6),Param.SonstigEinmaligBetrag6,0)</f>
        <v>0</v>
      </c>
      <c r="AB48" s="40">
        <f aca="1">IF(AND(Param.SonstigEinmaligKonto7="Depot",$A48=Param.SonstigEinmaligJahr7),Param.SonstigEinmaligBetrag7,0)</f>
        <v>0</v>
      </c>
      <c r="AC48" s="40">
        <f aca="1">IF(AND(Param.SonstigEinmaligKonto8="Depot",$A48=Param.SonstigEinmaligJahr8),Param.SonstigEinmaligBetrag8,0)</f>
        <v>0</v>
      </c>
      <c r="AD48" s="40">
        <f aca="1">IF(AND(Param.SonstigEinmaligKonto9="Depot",$A48=Param.SonstigEinmaligJahr9),Param.SonstigEinmaligBetrag9,0)</f>
        <v>0</v>
      </c>
      <c r="AE48" s="40">
        <f aca="1">IF(AND(Param.SonstigEinmaligKonto10="Depot",$A48=Param.SonstigEinmaligJahr10),Param.SonstigEinmaligBetrag10,0)</f>
        <v>0</v>
      </c>
      <c r="AF48" s="40">
        <f aca="1">Param.SparerPauschbetrag-BF48</f>
        <v>0</v>
      </c>
      <c r="AG48" s="40">
        <f aca="1">IF(AND(A48&gt;=Param.FireStartjahr,S48&gt;0),MIN(N48*Q48,S48),0)</f>
        <v>56149.0501462850661</v>
      </c>
      <c r="AH48" s="40">
        <f aca="1">IF(AG48&lt;=0,0,IF(S48&lt;=0,0,AG48/(1-MAX(0,((T48/S48)*(1-Param.Teilfreistellung)-MIN(AF48,AG48)/AG48)*Param.KapSt))))</f>
        <v>67739.0476682067674</v>
      </c>
      <c r="AI48" s="40">
        <f>AH48-AG48</f>
        <v>11589.997521921694</v>
      </c>
      <c r="AJ48" s="40">
        <f>T48-AH48*(T48/S48)</f>
        <v>576309.459381969762</v>
      </c>
      <c r="AK48" s="40">
        <f>S48-AH48</f>
        <v>621873.427511245245</v>
      </c>
      <c r="AL48" s="40">
        <f>FV(AO48,12,-(U48/12),-AK48,0)</f>
        <v>659185.833161895513</v>
      </c>
      <c r="AM48" s="40">
        <f>AJ48+AL48-AK48-U48</f>
        <v>613621.865032625035</v>
      </c>
      <c r="AN48" s="5">
        <f>AM48/AL48</f>
        <v>0.930878417227634003</v>
      </c>
      <c r="AO48" s="5">
        <f aca="1">(1+IF(AND(A48&gt;=Param.DepotRenditeSpezBeginn1,A48&lt;=Param.DepotRenditeSpezEnde1),Param.DepotRenditeSpezProz1,IF(AND(A48&gt;=Param.DepotRenditeSpezBeginn2,A48&lt;=Param.DepotRenditeSpezEnde2),Param.DepotRenditeSpezProz2,IF(AND(A48&gt;=Param.DepotRenditeSpezBeginn3,A48&lt;=Param.DepotRenditeSpezEnde3),Param.DepotRenditeSpezProz3,IF(AND(A48&gt;=Param.DepotRenditeSpezBeginn4,A48&lt;=Param.DepotRenditeSpezEnde4),Param.DepotRenditeSpezProz4,IF(AND(A48&gt;=Param.DepotRenditeSpezBeginn5,A48&lt;=Param.DepotRenditeSpezEnde5),Param.DepotRenditeSpezProz5,Param.DepotRenditeDefault))))))^(1/12)-1</f>
        <v>0.00486755056533993979</v>
      </c>
      <c r="AP48" s="40">
        <f>BJ47</f>
        <v>141108.145484805427</v>
      </c>
      <c r="AQ48" s="40">
        <f aca="1">IF(A48&lt;Param.FireStartjahr,Param.SparrateFestgeldMonatl*12*(1+Param.SparrateDynamikJaehrl)^($A48-Param.Startjahr),0)</f>
        <v>0</v>
      </c>
      <c r="AR48" s="40">
        <f>O48</f>
        <v>0</v>
      </c>
      <c r="AS48" s="40">
        <f aca="1">IF(AND(Param.SonstigEinmaligKonto1="Festgeld",$A48=Param.SonstigEinmaligJahr1),Param.SonstigEinmaligBetrag1,0)</f>
        <v>0</v>
      </c>
      <c r="AT48" s="40">
        <f aca="1">IF(AND(Param.SonstigEinmaligKonto2="Festgeld",$A48=Param.SonstigEinmaligJahr2),Param.SonstigEinmaligBetrag2,0)</f>
        <v>0</v>
      </c>
      <c r="AU48" s="40">
        <f aca="1">IF(AND(Param.SonstigEinmaligKonto3="Festgeld",$A48=Param.SonstigEinmaligJahr3),Param.SonstigEinmaligBetrag3,0)</f>
        <v>0</v>
      </c>
      <c r="AV48" s="40">
        <f aca="1">IF(AND(Param.SonstigEinmaligKonto4="Festgeld",$A48=Param.SonstigEinmaligJahr4),Param.SonstigEinmaligBetrag4,0)</f>
        <v>0</v>
      </c>
      <c r="AW48" s="40">
        <f aca="1">IF(AND(Param.SonstigEinmaligKonto5="Festgeld",$A48=Param.SonstigEinmaligJahr5),Param.SonstigEinmaligBetrag5,0)</f>
        <v>0</v>
      </c>
      <c r="AX48" s="40">
        <f aca="1">IF(AND(Param.SonstigEinmaligKonto6="Festgeld",$A48=Param.SonstigEinmaligJahr6),Param.SonstigEinmaligBetrag6,0)</f>
        <v>0</v>
      </c>
      <c r="AY48" s="40">
        <f aca="1">IF(AND(Param.SonstigEinmaligKonto7="Festgeld",$A48=Param.SonstigEinmaligJahr7),Param.SonstigEinmaligBetrag7,0)</f>
        <v>0</v>
      </c>
      <c r="AZ48" s="40">
        <f aca="1">IF(AND(Param.SonstigEinmaligKonto8="Festgeld",$A48=Param.SonstigEinmaligJahr8),Param.SonstigEinmaligBetrag8,0)</f>
        <v>0</v>
      </c>
      <c r="BA48" s="40">
        <f aca="1">IF(AND(Param.SonstigEinmaligKonto9="Festgeld",$A48=Param.SonstigEinmaligJahr9),Param.SonstigEinmaligBetrag9,0)</f>
        <v>0</v>
      </c>
      <c r="BB48" s="40">
        <f aca="1">IF(AND(Param.SonstigEinmaligKonto10="Festgeld",$A48=Param.SonstigEinmaligJahr10),Param.SonstigEinmaligBetrag10,0)</f>
        <v>0</v>
      </c>
      <c r="BC48" s="40">
        <f aca="1">IF(AND(A48&gt;=Param.FireStartjahr,AP48&gt;0),MIN(N48*R48,AP48),0)</f>
        <v>11489.1893955570249</v>
      </c>
      <c r="BD48" s="5">
        <f aca="1">Param.FestgeldZinssatz</f>
        <v>0.02</v>
      </c>
      <c r="BE48" s="40">
        <f>(AP48+AQ48-BC48)*BD48</f>
        <v>2592.37912178495981</v>
      </c>
      <c r="BF48" s="40">
        <f aca="1">IF(BE48&gt;Param.SparerPauschbetrag,Param.SparerPauschbetrag,BE48)</f>
        <v>1000</v>
      </c>
      <c r="BG48" s="40">
        <f>BE48-BF48</f>
        <v>1592.37912178495981</v>
      </c>
      <c r="BH48" s="40">
        <f aca="1">BG48*Param.KapSt</f>
        <v>419.989993370783168</v>
      </c>
      <c r="BI48" s="40">
        <f>BE48-BH48</f>
        <v>2172.38912841417687</v>
      </c>
      <c r="BJ48" s="63">
        <f>AP48+SUM(AQ48:BB48)-BC48+BI48</f>
        <v>131791.345217662165</v>
      </c>
      <c r="BK48" s="40">
        <f>AL48+BJ48</f>
        <v>790977.178379558027</v>
      </c>
      <c r="BL48" s="40">
        <f aca="1">BK48/(1+Param.Inflationsrate)^(A48-Param.Startjahr)</f>
        <v>273550.643896291265</v>
      </c>
      <c r="BM48" s="52" t="str">
        <f>IF(BK48&lt;N48,A48,"")</f>
        <v/>
      </c>
      <c r="BN48" s="40">
        <f>AH48+BC48</f>
        <v>79228.2370637637941</v>
      </c>
      <c r="BO48" s="40">
        <f>SUM(AR48:BB48)</f>
        <v>0</v>
      </c>
      <c r="BP48" s="40">
        <f>BN48+(-1*BO48)</f>
        <v>79228.2370637637941</v>
      </c>
      <c r="BQ48" s="40">
        <f>AI48+BH48</f>
        <v>12009.9875152924833</v>
      </c>
      <c r="BR48" s="5">
        <f>IF(BK48&gt;0,BP48/BK48,0)</f>
        <v>0.100165010103168051</v>
      </c>
    </row>
    <row r="49" spans="1:70">
      <c r="A49">
        <f>A48+1</f>
        <v>2070</v>
      </c>
      <c r="B49">
        <f>B5+(45-1)</f>
        <v>74</v>
      </c>
      <c r="C49" s="10">
        <f aca="1">IF(A49&lt;Param.FireStartjahr,0,Param.EntnahmeBetragStart*(1+Param.Inflationsrate)^(A49-Param.Startjahr))</f>
        <v>88914.2423089764052</v>
      </c>
      <c r="D49" s="40">
        <f aca="1">IF(OR($A49&lt;Param.SonstigRegelmJahrBeginn1,$A49&gt;Param.SonstigRegelmJahrEnd1),0,Param.SonstigRegelmBetragJaehrl1*(1+Param.SonstigRegelmSteig1)^(A49-Param.SonstigRegelmJahrBeginn1))</f>
        <v>19298.4363379261813</v>
      </c>
      <c r="E49" s="40">
        <f aca="1">IF(OR($A49&lt;Param.SonstigRegelmJahrBeginn2,$A49&gt;Param.SonstigRegelmJahrEnd2),0,Param.SonstigRegelmBetragJaehrl2*(1+Param.SonstigRegelmSteig2)^($A49-Param.SonstigRegelmJahrBeginn2))</f>
        <v>0</v>
      </c>
      <c r="F49" s="40">
        <f aca="1">IF(OR($A49&lt;Param.SonstigRegelmJahrBeginn3,$A49&gt;Param.SonstigRegelmJahrEnd3),0,Param.SonstigRegelmBetragJaehrl3*(1+Param.SonstigRegelmSteig3)^($A49-Param.SonstigRegelmJahrBeginn3))</f>
        <v>0</v>
      </c>
      <c r="G49" s="40">
        <f aca="1">IF(OR($A49&lt;Param.SonstigRegelmJahrBeginn4,$A49&gt;Param.SonstigRegelmJahrEnd4),0,Param.SonstigRegelmBetragJaehrl4*(1+Param.SonstigRegelmSteig4)^($A49-Param.SonstigRegelmJahrBeginn4))</f>
        <v>0</v>
      </c>
      <c r="H49" s="40">
        <f aca="1">IF(OR($A49&lt;Param.SonstigRegelmJahrBeginn5,$A49&gt;Param.SonstigRegelmJahrEnd5),0,Param.SonstigRegelmBetragJaehrl5*(1+Param.SonstigRegelmSteig5)^($A49-Param.SonstigRegelmJahrBeginn5))</f>
        <v>0</v>
      </c>
      <c r="I49" s="40">
        <f aca="1">IF(OR($A49&lt;Param.SonstigRegelmJahrBeginn6,$A49&gt;Param.SonstigRegelmJahrEnd6),0,Param.SonstigRegelmBetragJaehrl6*(1+Param.SonstigRegelmSteig6)^($A49-Param.SonstigRegelmJahrBeginn6))</f>
        <v>0</v>
      </c>
      <c r="J49" s="40">
        <f aca="1">IF(OR($A49&lt;Param.SonstigRegelmJahrBeginn7,$A49&gt;Param.SonstigRegelmJahrEnd7),0,Param.SonstigRegelmBetragJaehrl7*(1+Param.SonstigRegelmSteig7)^($A49-Param.SonstigRegelmJahrBeginn7))</f>
        <v>0</v>
      </c>
      <c r="K49" s="40">
        <f aca="1">IF(OR($A49&lt;Param.SonstigRegelmJahrBeginn8,$A49&gt;Param.SonstigRegelmJahrEnd8),0,Param.SonstigRegelmBetragJaehrl8*(1+Param.SonstigRegelmSteig8)^($A49-Param.SonstigRegelmJahrBeginn8))</f>
        <v>0</v>
      </c>
      <c r="L49" s="40">
        <f aca="1">IF(OR($A49&lt;Param.SonstigRegelmJahrBeginn9,$A49&gt;Param.SonstigRegelmJahrEnd9),0,Param.SonstigRegelmBetragJaehrl9*(1+Param.SonstigRegelmSteig9)^($A49-Param.SonstigRegelmJahrBeginn9))</f>
        <v>0</v>
      </c>
      <c r="M49" s="40">
        <f aca="1">IF(OR($A49&lt;Param.SonstigRegelmJahrBeginn10,$A49&gt;Param.SonstigRegelmJahrEnd10),0,Param.SonstigRegelmBetragJaehrl10*(1+Param.SonstigRegelmSteig10)^($A49-Param.SonstigRegelmJahrBeginn10))</f>
        <v>0</v>
      </c>
      <c r="N49" s="10">
        <f>MAX(0,C49-SUM(D49:M49))</f>
        <v>69615.8059710501984</v>
      </c>
      <c r="O49" s="10">
        <f>IF(N49&lt;=0,SUM(D49:M49)-C49,0)</f>
        <v>0</v>
      </c>
      <c r="P49" s="10">
        <f>S49+AP49</f>
        <v>790977.178379558027</v>
      </c>
      <c r="Q49" s="11">
        <f>IF(P49&gt;0,S49/P49,0)</f>
        <v>0.83338160844582454</v>
      </c>
      <c r="R49" s="11">
        <f>IF(P49&gt;0,AP49/P49,0)</f>
        <v>0.166618391554175354</v>
      </c>
      <c r="S49" s="10">
        <f>AL48</f>
        <v>659185.833161895513</v>
      </c>
      <c r="T49" s="40">
        <f>AM48</f>
        <v>613621.865032625035</v>
      </c>
      <c r="U49" s="40">
        <f aca="1">IF(A49&lt;Param.FireStartjahr,Param.SparrateDepotMonatl*12*(1+Param.SparrateDynamikJaehrl)^($A49-Param.Startjahr),0)</f>
        <v>0</v>
      </c>
      <c r="V49" s="40">
        <f aca="1">IF(AND(Param.SonstigEinmaligKonto1="Depot",$A49=Param.SonstigEinmaligJahr1),Param.SonstigEinmaligBetrag1,0)</f>
        <v>0</v>
      </c>
      <c r="W49" s="40">
        <f aca="1">IF(AND(Param.SonstigEinmaligKonto2="Depot",$A49=Param.SonstigEinmaligJahr2),Param.SonstigEinmaligBetrag2,0)</f>
        <v>0</v>
      </c>
      <c r="X49" s="40">
        <f aca="1">IF(AND(Param.SonstigEinmaligKonto3="Depot",$A49=Param.SonstigEinmaligJahr3),Param.SonstigEinmaligBetrag3,0)</f>
        <v>0</v>
      </c>
      <c r="Y49" s="40">
        <f aca="1">IF(AND(Param.SonstigEinmaligKonto4="Depot",$A49=Param.SonstigEinmaligJahr4),Param.SonstigEinmaligBetrag4,0)</f>
        <v>0</v>
      </c>
      <c r="Z49" s="40">
        <f aca="1">IF(AND(Param.SonstigEinmaligKonto5="Depot",$A49=Param.SonstigEinmaligJahr5),Param.SonstigEinmaligBetrag5,0)</f>
        <v>0</v>
      </c>
      <c r="AA49" s="40">
        <f aca="1">IF(AND(Param.SonstigEinmaligKonto6="Depot",$A49=Param.SonstigEinmaligJahr6),Param.SonstigEinmaligBetrag6,0)</f>
        <v>0</v>
      </c>
      <c r="AB49" s="40">
        <f aca="1">IF(AND(Param.SonstigEinmaligKonto7="Depot",$A49=Param.SonstigEinmaligJahr7),Param.SonstigEinmaligBetrag7,0)</f>
        <v>0</v>
      </c>
      <c r="AC49" s="40">
        <f aca="1">IF(AND(Param.SonstigEinmaligKonto8="Depot",$A49=Param.SonstigEinmaligJahr8),Param.SonstigEinmaligBetrag8,0)</f>
        <v>0</v>
      </c>
      <c r="AD49" s="40">
        <f aca="1">IF(AND(Param.SonstigEinmaligKonto9="Depot",$A49=Param.SonstigEinmaligJahr9),Param.SonstigEinmaligBetrag9,0)</f>
        <v>0</v>
      </c>
      <c r="AE49" s="40">
        <f aca="1">IF(AND(Param.SonstigEinmaligKonto10="Depot",$A49=Param.SonstigEinmaligJahr10),Param.SonstigEinmaligBetrag10,0)</f>
        <v>0</v>
      </c>
      <c r="AF49" s="40">
        <f aca="1">Param.SparerPauschbetrag-BF49</f>
        <v>0</v>
      </c>
      <c r="AG49" s="40">
        <f aca="1">IF(AND(A49&gt;=Param.FireStartjahr,S49&gt;0),MIN(N49*Q49,S49),0)</f>
        <v>58016.5323534062845</v>
      </c>
      <c r="AH49" s="40">
        <f aca="1">IF(AG49&lt;=0,0,IF(S49&lt;=0,0,AG49/(1-MAX(0,((T49/S49)*(1-Param.Teilfreistellung)-MIN(AF49,AG49)/AG49)*Param.KapSt))))</f>
        <v>70056.7204729602236</v>
      </c>
      <c r="AI49" s="40">
        <f>AH49-AG49</f>
        <v>12040.1881195538954</v>
      </c>
      <c r="AJ49" s="40">
        <f>T49-AH49*(T49/S49)</f>
        <v>548407.575962597039</v>
      </c>
      <c r="AK49" s="40">
        <f>S49-AH49</f>
        <v>589129.112688935827</v>
      </c>
      <c r="AL49" s="40">
        <f>FV(AO49,12,-(U49/12),-AK49,0)</f>
        <v>624476.859450248885</v>
      </c>
      <c r="AM49" s="40">
        <f>AJ49+AL49-AK49-U49</f>
        <v>583755.322723914054</v>
      </c>
      <c r="AN49" s="5">
        <f>AM49/AL49</f>
        <v>0.934790959648715258</v>
      </c>
      <c r="AO49" s="5">
        <f aca="1">(1+IF(AND(A49&gt;=Param.DepotRenditeSpezBeginn1,A49&lt;=Param.DepotRenditeSpezEnde1),Param.DepotRenditeSpezProz1,IF(AND(A49&gt;=Param.DepotRenditeSpezBeginn2,A49&lt;=Param.DepotRenditeSpezEnde2),Param.DepotRenditeSpezProz2,IF(AND(A49&gt;=Param.DepotRenditeSpezBeginn3,A49&lt;=Param.DepotRenditeSpezEnde3),Param.DepotRenditeSpezProz3,IF(AND(A49&gt;=Param.DepotRenditeSpezBeginn4,A49&lt;=Param.DepotRenditeSpezEnde4),Param.DepotRenditeSpezProz4,IF(AND(A49&gt;=Param.DepotRenditeSpezBeginn5,A49&lt;=Param.DepotRenditeSpezEnde5),Param.DepotRenditeSpezProz5,Param.DepotRenditeDefault))))))^(1/12)-1</f>
        <v>0.00486755056533993979</v>
      </c>
      <c r="AP49" s="40">
        <f>BJ48</f>
        <v>131791.345217662165</v>
      </c>
      <c r="AQ49" s="40">
        <f aca="1">IF(A49&lt;Param.FireStartjahr,Param.SparrateFestgeldMonatl*12*(1+Param.SparrateDynamikJaehrl)^($A49-Param.Startjahr),0)</f>
        <v>0</v>
      </c>
      <c r="AR49" s="40">
        <f>O49</f>
        <v>0</v>
      </c>
      <c r="AS49" s="40">
        <f aca="1">IF(AND(Param.SonstigEinmaligKonto1="Festgeld",$A49=Param.SonstigEinmaligJahr1),Param.SonstigEinmaligBetrag1,0)</f>
        <v>0</v>
      </c>
      <c r="AT49" s="40">
        <f aca="1">IF(AND(Param.SonstigEinmaligKonto2="Festgeld",$A49=Param.SonstigEinmaligJahr2),Param.SonstigEinmaligBetrag2,0)</f>
        <v>0</v>
      </c>
      <c r="AU49" s="40">
        <f aca="1">IF(AND(Param.SonstigEinmaligKonto3="Festgeld",$A49=Param.SonstigEinmaligJahr3),Param.SonstigEinmaligBetrag3,0)</f>
        <v>0</v>
      </c>
      <c r="AV49" s="40">
        <f aca="1">IF(AND(Param.SonstigEinmaligKonto4="Festgeld",$A49=Param.SonstigEinmaligJahr4),Param.SonstigEinmaligBetrag4,0)</f>
        <v>0</v>
      </c>
      <c r="AW49" s="40">
        <f aca="1">IF(AND(Param.SonstigEinmaligKonto5="Festgeld",$A49=Param.SonstigEinmaligJahr5),Param.SonstigEinmaligBetrag5,0)</f>
        <v>0</v>
      </c>
      <c r="AX49" s="40">
        <f aca="1">IF(AND(Param.SonstigEinmaligKonto6="Festgeld",$A49=Param.SonstigEinmaligJahr6),Param.SonstigEinmaligBetrag6,0)</f>
        <v>0</v>
      </c>
      <c r="AY49" s="40">
        <f aca="1">IF(AND(Param.SonstigEinmaligKonto7="Festgeld",$A49=Param.SonstigEinmaligJahr7),Param.SonstigEinmaligBetrag7,0)</f>
        <v>0</v>
      </c>
      <c r="AZ49" s="40">
        <f aca="1">IF(AND(Param.SonstigEinmaligKonto8="Festgeld",$A49=Param.SonstigEinmaligJahr8),Param.SonstigEinmaligBetrag8,0)</f>
        <v>0</v>
      </c>
      <c r="BA49" s="40">
        <f aca="1">IF(AND(Param.SonstigEinmaligKonto9="Festgeld",$A49=Param.SonstigEinmaligJahr9),Param.SonstigEinmaligBetrag9,0)</f>
        <v>0</v>
      </c>
      <c r="BB49" s="40">
        <f aca="1">IF(AND(Param.SonstigEinmaligKonto10="Festgeld",$A49=Param.SonstigEinmaligJahr10),Param.SonstigEinmaligBetrag10,0)</f>
        <v>0</v>
      </c>
      <c r="BC49" s="40">
        <f aca="1">IF(AND(A49&gt;=Param.FireStartjahr,AP49&gt;0),MIN(N49*R49,AP49),0)</f>
        <v>11599.2736176439157</v>
      </c>
      <c r="BD49" s="5">
        <f aca="1">Param.FestgeldZinssatz</f>
        <v>0.02</v>
      </c>
      <c r="BE49" s="40">
        <f>(AP49+AQ49-BC49)*BD49</f>
        <v>2403.84143200035987</v>
      </c>
      <c r="BF49" s="40">
        <f aca="1">IF(BE49&gt;Param.SparerPauschbetrag,Param.SparerPauschbetrag,BE49)</f>
        <v>1000</v>
      </c>
      <c r="BG49" s="40">
        <f>BE49-BF49</f>
        <v>1403.84143200035987</v>
      </c>
      <c r="BH49" s="40">
        <f aca="1">BG49*Param.KapSt</f>
        <v>370.263177690094949</v>
      </c>
      <c r="BI49" s="40">
        <f>BE49-BH49</f>
        <v>2033.57825431026481</v>
      </c>
      <c r="BJ49" s="63">
        <f>AP49+SUM(AQ49:BB49)-BC49+BI49</f>
        <v>122225.649854328265</v>
      </c>
      <c r="BK49" s="40">
        <f>AL49+BJ49</f>
        <v>746702.509304577019</v>
      </c>
      <c r="BL49" s="40">
        <f aca="1">BK49/(1+Param.Inflationsrate)^(A49-Param.Startjahr)</f>
        <v>251940.236990309408</v>
      </c>
      <c r="BM49" s="52" t="str">
        <f>IF(BK49&lt;N49,A49,"")</f>
        <v/>
      </c>
      <c r="BN49" s="40">
        <f>AH49+BC49</f>
        <v>81655.9940906041011</v>
      </c>
      <c r="BO49" s="40">
        <f>SUM(AR49:BB49)</f>
        <v>0</v>
      </c>
      <c r="BP49" s="40">
        <f>BN49+(-1*BO49)</f>
        <v>81655.9940906041011</v>
      </c>
      <c r="BQ49" s="40">
        <f>AI49+BH49</f>
        <v>12410.4512972439952</v>
      </c>
      <c r="BR49" s="5">
        <f>IF(BK49&gt;0,BP49/BK49,0)</f>
        <v>0.10935545692306885</v>
      </c>
    </row>
    <row r="50" spans="1:70">
      <c r="A50">
        <f>A49+1</f>
        <v>2071</v>
      </c>
      <c r="B50">
        <f>B5+(46-1)</f>
        <v>75</v>
      </c>
      <c r="C50" s="10">
        <f aca="1">IF(A50&lt;Param.FireStartjahr,0,Param.EntnahmeBetragStart*(1+Param.Inflationsrate)^(A50-Param.Startjahr))</f>
        <v>91137.0983667009132</v>
      </c>
      <c r="D50" s="40">
        <f aca="1">IF(OR($A50&lt;Param.SonstigRegelmJahrBeginn1,$A50&gt;Param.SonstigRegelmJahrEnd1),0,Param.SonstigRegelmBetragJaehrl1*(1+Param.SonstigRegelmSteig1)^(A50-Param.SonstigRegelmJahrBeginn1))</f>
        <v>19491.4207013054402</v>
      </c>
      <c r="E50" s="40">
        <f aca="1">IF(OR($A50&lt;Param.SonstigRegelmJahrBeginn2,$A50&gt;Param.SonstigRegelmJahrEnd2),0,Param.SonstigRegelmBetragJaehrl2*(1+Param.SonstigRegelmSteig2)^($A50-Param.SonstigRegelmJahrBeginn2))</f>
        <v>0</v>
      </c>
      <c r="F50" s="40">
        <f aca="1">IF(OR($A50&lt;Param.SonstigRegelmJahrBeginn3,$A50&gt;Param.SonstigRegelmJahrEnd3),0,Param.SonstigRegelmBetragJaehrl3*(1+Param.SonstigRegelmSteig3)^($A50-Param.SonstigRegelmJahrBeginn3))</f>
        <v>0</v>
      </c>
      <c r="G50" s="40">
        <f aca="1">IF(OR($A50&lt;Param.SonstigRegelmJahrBeginn4,$A50&gt;Param.SonstigRegelmJahrEnd4),0,Param.SonstigRegelmBetragJaehrl4*(1+Param.SonstigRegelmSteig4)^($A50-Param.SonstigRegelmJahrBeginn4))</f>
        <v>0</v>
      </c>
      <c r="H50" s="40">
        <f aca="1">IF(OR($A50&lt;Param.SonstigRegelmJahrBeginn5,$A50&gt;Param.SonstigRegelmJahrEnd5),0,Param.SonstigRegelmBetragJaehrl5*(1+Param.SonstigRegelmSteig5)^($A50-Param.SonstigRegelmJahrBeginn5))</f>
        <v>0</v>
      </c>
      <c r="I50" s="40">
        <f aca="1">IF(OR($A50&lt;Param.SonstigRegelmJahrBeginn6,$A50&gt;Param.SonstigRegelmJahrEnd6),0,Param.SonstigRegelmBetragJaehrl6*(1+Param.SonstigRegelmSteig6)^($A50-Param.SonstigRegelmJahrBeginn6))</f>
        <v>0</v>
      </c>
      <c r="J50" s="40">
        <f aca="1">IF(OR($A50&lt;Param.SonstigRegelmJahrBeginn7,$A50&gt;Param.SonstigRegelmJahrEnd7),0,Param.SonstigRegelmBetragJaehrl7*(1+Param.SonstigRegelmSteig7)^($A50-Param.SonstigRegelmJahrBeginn7))</f>
        <v>0</v>
      </c>
      <c r="K50" s="40">
        <f aca="1">IF(OR($A50&lt;Param.SonstigRegelmJahrBeginn8,$A50&gt;Param.SonstigRegelmJahrEnd8),0,Param.SonstigRegelmBetragJaehrl8*(1+Param.SonstigRegelmSteig8)^($A50-Param.SonstigRegelmJahrBeginn8))</f>
        <v>0</v>
      </c>
      <c r="L50" s="40">
        <f aca="1">IF(OR($A50&lt;Param.SonstigRegelmJahrBeginn9,$A50&gt;Param.SonstigRegelmJahrEnd9),0,Param.SonstigRegelmBetragJaehrl9*(1+Param.SonstigRegelmSteig9)^($A50-Param.SonstigRegelmJahrBeginn9))</f>
        <v>0</v>
      </c>
      <c r="M50" s="40">
        <f aca="1">IF(OR($A50&lt;Param.SonstigRegelmJahrBeginn10,$A50&gt;Param.SonstigRegelmJahrEnd10),0,Param.SonstigRegelmBetragJaehrl10*(1+Param.SonstigRegelmSteig10)^($A50-Param.SonstigRegelmJahrBeginn10))</f>
        <v>0</v>
      </c>
      <c r="N50" s="10">
        <f>MAX(0,C50-SUM(D50:M50))</f>
        <v>71645.6776653955021</v>
      </c>
      <c r="O50" s="10">
        <f>IF(N50&lt;=0,SUM(D50:M50)-C50,0)</f>
        <v>0</v>
      </c>
      <c r="P50" s="10">
        <f>S50+AP50</f>
        <v>746702.509304577019</v>
      </c>
      <c r="Q50" s="11">
        <f>IF(P50&gt;0,S50/P50,0)</f>
        <v>0.836312790795145666</v>
      </c>
      <c r="R50" s="11">
        <f>IF(P50&gt;0,AP50/P50,0)</f>
        <v>0.163687209204854351</v>
      </c>
      <c r="S50" s="10">
        <f>AL49</f>
        <v>624476.859450248885</v>
      </c>
      <c r="T50" s="40">
        <f>AM49</f>
        <v>583755.322723914054</v>
      </c>
      <c r="U50" s="40">
        <f aca="1">IF(A50&lt;Param.FireStartjahr,Param.SparrateDepotMonatl*12*(1+Param.SparrateDynamikJaehrl)^($A50-Param.Startjahr),0)</f>
        <v>0</v>
      </c>
      <c r="V50" s="40">
        <f aca="1">IF(AND(Param.SonstigEinmaligKonto1="Depot",$A50=Param.SonstigEinmaligJahr1),Param.SonstigEinmaligBetrag1,0)</f>
        <v>0</v>
      </c>
      <c r="W50" s="40">
        <f aca="1">IF(AND(Param.SonstigEinmaligKonto2="Depot",$A50=Param.SonstigEinmaligJahr2),Param.SonstigEinmaligBetrag2,0)</f>
        <v>0</v>
      </c>
      <c r="X50" s="40">
        <f aca="1">IF(AND(Param.SonstigEinmaligKonto3="Depot",$A50=Param.SonstigEinmaligJahr3),Param.SonstigEinmaligBetrag3,0)</f>
        <v>0</v>
      </c>
      <c r="Y50" s="40">
        <f aca="1">IF(AND(Param.SonstigEinmaligKonto4="Depot",$A50=Param.SonstigEinmaligJahr4),Param.SonstigEinmaligBetrag4,0)</f>
        <v>0</v>
      </c>
      <c r="Z50" s="40">
        <f aca="1">IF(AND(Param.SonstigEinmaligKonto5="Depot",$A50=Param.SonstigEinmaligJahr5),Param.SonstigEinmaligBetrag5,0)</f>
        <v>0</v>
      </c>
      <c r="AA50" s="40">
        <f aca="1">IF(AND(Param.SonstigEinmaligKonto6="Depot",$A50=Param.SonstigEinmaligJahr6),Param.SonstigEinmaligBetrag6,0)</f>
        <v>0</v>
      </c>
      <c r="AB50" s="40">
        <f aca="1">IF(AND(Param.SonstigEinmaligKonto7="Depot",$A50=Param.SonstigEinmaligJahr7),Param.SonstigEinmaligBetrag7,0)</f>
        <v>0</v>
      </c>
      <c r="AC50" s="40">
        <f aca="1">IF(AND(Param.SonstigEinmaligKonto8="Depot",$A50=Param.SonstigEinmaligJahr8),Param.SonstigEinmaligBetrag8,0)</f>
        <v>0</v>
      </c>
      <c r="AD50" s="40">
        <f aca="1">IF(AND(Param.SonstigEinmaligKonto9="Depot",$A50=Param.SonstigEinmaligJahr9),Param.SonstigEinmaligBetrag9,0)</f>
        <v>0</v>
      </c>
      <c r="AE50" s="40">
        <f aca="1">IF(AND(Param.SonstigEinmaligKonto10="Depot",$A50=Param.SonstigEinmaligJahr10),Param.SonstigEinmaligBetrag10,0)</f>
        <v>0</v>
      </c>
      <c r="AF50" s="40">
        <f aca="1">Param.SparerPauschbetrag-BF50</f>
        <v>0</v>
      </c>
      <c r="AG50" s="40">
        <f aca="1">IF(AND(A50&gt;=Param.FireStartjahr,S50&gt;0),MIN(N50*Q50,S50),0)</f>
        <v>59918.1966367563728</v>
      </c>
      <c r="AH50" s="40">
        <f aca="1">IF(AG50&lt;=0,0,IF(S50&lt;=0,0,AG50/(1-MAX(0,((T50/S50)*(1-Param.Teilfreistellung)-MIN(AF50,AG50)/AG50)*Param.KapSt))))</f>
        <v>72416.2037047802005</v>
      </c>
      <c r="AI50" s="40">
        <f>AH50-AG50</f>
        <v>12498.0070680237986</v>
      </c>
      <c r="AJ50" s="40">
        <f>T50-AH50*(T50/S50)</f>
        <v>516061.310168605763</v>
      </c>
      <c r="AK50" s="40">
        <f>S50-AH50</f>
        <v>552060.655745468801</v>
      </c>
      <c r="AL50" s="40">
        <f>FV(AO50,12,-(U50/12),-AK50,0)</f>
        <v>585184.295090175234</v>
      </c>
      <c r="AM50" s="40">
        <f>AJ50+AL50-AK50-U50</f>
        <v>549184.949513311032</v>
      </c>
      <c r="AN50" s="5">
        <f>AM50/AL50</f>
        <v>0.938482037404444291</v>
      </c>
      <c r="AO50" s="5">
        <f aca="1">(1+IF(AND(A50&gt;=Param.DepotRenditeSpezBeginn1,A50&lt;=Param.DepotRenditeSpezEnde1),Param.DepotRenditeSpezProz1,IF(AND(A50&gt;=Param.DepotRenditeSpezBeginn2,A50&lt;=Param.DepotRenditeSpezEnde2),Param.DepotRenditeSpezProz2,IF(AND(A50&gt;=Param.DepotRenditeSpezBeginn3,A50&lt;=Param.DepotRenditeSpezEnde3),Param.DepotRenditeSpezProz3,IF(AND(A50&gt;=Param.DepotRenditeSpezBeginn4,A50&lt;=Param.DepotRenditeSpezEnde4),Param.DepotRenditeSpezProz4,IF(AND(A50&gt;=Param.DepotRenditeSpezBeginn5,A50&lt;=Param.DepotRenditeSpezEnde5),Param.DepotRenditeSpezProz5,Param.DepotRenditeDefault))))))^(1/12)-1</f>
        <v>0.00486755056533993979</v>
      </c>
      <c r="AP50" s="40">
        <f>BJ49</f>
        <v>122225.649854328265</v>
      </c>
      <c r="AQ50" s="40">
        <f aca="1">IF(A50&lt;Param.FireStartjahr,Param.SparrateFestgeldMonatl*12*(1+Param.SparrateDynamikJaehrl)^($A50-Param.Startjahr),0)</f>
        <v>0</v>
      </c>
      <c r="AR50" s="40">
        <f>O50</f>
        <v>0</v>
      </c>
      <c r="AS50" s="40">
        <f aca="1">IF(AND(Param.SonstigEinmaligKonto1="Festgeld",$A50=Param.SonstigEinmaligJahr1),Param.SonstigEinmaligBetrag1,0)</f>
        <v>0</v>
      </c>
      <c r="AT50" s="40">
        <f aca="1">IF(AND(Param.SonstigEinmaligKonto2="Festgeld",$A50=Param.SonstigEinmaligJahr2),Param.SonstigEinmaligBetrag2,0)</f>
        <v>0</v>
      </c>
      <c r="AU50" s="40">
        <f aca="1">IF(AND(Param.SonstigEinmaligKonto3="Festgeld",$A50=Param.SonstigEinmaligJahr3),Param.SonstigEinmaligBetrag3,0)</f>
        <v>0</v>
      </c>
      <c r="AV50" s="40">
        <f aca="1">IF(AND(Param.SonstigEinmaligKonto4="Festgeld",$A50=Param.SonstigEinmaligJahr4),Param.SonstigEinmaligBetrag4,0)</f>
        <v>0</v>
      </c>
      <c r="AW50" s="40">
        <f aca="1">IF(AND(Param.SonstigEinmaligKonto5="Festgeld",$A50=Param.SonstigEinmaligJahr5),Param.SonstigEinmaligBetrag5,0)</f>
        <v>0</v>
      </c>
      <c r="AX50" s="40">
        <f aca="1">IF(AND(Param.SonstigEinmaligKonto6="Festgeld",$A50=Param.SonstigEinmaligJahr6),Param.SonstigEinmaligBetrag6,0)</f>
        <v>0</v>
      </c>
      <c r="AY50" s="40">
        <f aca="1">IF(AND(Param.SonstigEinmaligKonto7="Festgeld",$A50=Param.SonstigEinmaligJahr7),Param.SonstigEinmaligBetrag7,0)</f>
        <v>0</v>
      </c>
      <c r="AZ50" s="40">
        <f aca="1">IF(AND(Param.SonstigEinmaligKonto8="Festgeld",$A50=Param.SonstigEinmaligJahr8),Param.SonstigEinmaligBetrag8,0)</f>
        <v>0</v>
      </c>
      <c r="BA50" s="40">
        <f aca="1">IF(AND(Param.SonstigEinmaligKonto9="Festgeld",$A50=Param.SonstigEinmaligJahr9),Param.SonstigEinmaligBetrag9,0)</f>
        <v>0</v>
      </c>
      <c r="BB50" s="40">
        <f aca="1">IF(AND(Param.SonstigEinmaligKonto10="Festgeld",$A50=Param.SonstigEinmaligJahr10),Param.SonstigEinmaligBetrag10,0)</f>
        <v>0</v>
      </c>
      <c r="BC50" s="40">
        <f aca="1">IF(AND(A50&gt;=Param.FireStartjahr,AP50&gt;0),MIN(N50*R50,AP50),0)</f>
        <v>11727.4810286391294</v>
      </c>
      <c r="BD50" s="5">
        <f aca="1">Param.FestgeldZinssatz</f>
        <v>0.02</v>
      </c>
      <c r="BE50" s="40">
        <f>(AP50+AQ50-BC50)*BD50</f>
        <v>2209.96337651378008</v>
      </c>
      <c r="BF50" s="40">
        <f aca="1">IF(BE50&gt;Param.SparerPauschbetrag,Param.SparerPauschbetrag,BE50)</f>
        <v>1000</v>
      </c>
      <c r="BG50" s="40">
        <f>BE50-BF50</f>
        <v>1209.96337651378008</v>
      </c>
      <c r="BH50" s="40">
        <f aca="1">BG50*Param.KapSt</f>
        <v>319.127840555509465</v>
      </c>
      <c r="BI50" s="40">
        <f>BE50-BH50</f>
        <v>1890.83553595827016</v>
      </c>
      <c r="BJ50" s="63">
        <f>AP50+SUM(AQ50:BB50)-BC50+BI50</f>
        <v>112389.004361647269</v>
      </c>
      <c r="BK50" s="40">
        <f>AL50+BJ50</f>
        <v>697573.299451821949</v>
      </c>
      <c r="BL50" s="40">
        <f aca="1">BK50/(1+Param.Inflationsrate)^(A50-Param.Startjahr)</f>
        <v>229623.274809031078</v>
      </c>
      <c r="BM50" s="52" t="str">
        <f>IF(BK50&lt;N50,A50,"")</f>
        <v/>
      </c>
      <c r="BN50" s="40">
        <f>AH50+BC50</f>
        <v>84143.6847334193008</v>
      </c>
      <c r="BO50" s="40">
        <f>SUM(AR50:BB50)</f>
        <v>0</v>
      </c>
      <c r="BP50" s="40">
        <f>BN50+(-1*BO50)</f>
        <v>84143.6847334193008</v>
      </c>
      <c r="BQ50" s="40">
        <f>AI50+BH50</f>
        <v>12817.1349085793099</v>
      </c>
      <c r="BR50" s="5">
        <f>IF(BK50&gt;0,BP50/BK50,0)</f>
        <v>0.120623430970684264</v>
      </c>
    </row>
    <row r="51" spans="1:70">
      <c r="A51">
        <f>A50+1</f>
        <v>2072</v>
      </c>
      <c r="B51">
        <f>B5+(47-1)</f>
        <v>76</v>
      </c>
      <c r="C51" s="10">
        <f aca="1">IF(A51&lt;Param.FireStartjahr,0,Param.EntnahmeBetragStart*(1+Param.Inflationsrate)^(A51-Param.Startjahr))</f>
        <v>93415.5258258684044</v>
      </c>
      <c r="D51" s="40">
        <f aca="1">IF(OR($A51&lt;Param.SonstigRegelmJahrBeginn1,$A51&gt;Param.SonstigRegelmJahrEnd1),0,Param.SonstigRegelmBetragJaehrl1*(1+Param.SonstigRegelmSteig1)^(A51-Param.SonstigRegelmJahrBeginn1))</f>
        <v>19686.3349083184803</v>
      </c>
      <c r="E51" s="40">
        <f aca="1">IF(OR($A51&lt;Param.SonstigRegelmJahrBeginn2,$A51&gt;Param.SonstigRegelmJahrEnd2),0,Param.SonstigRegelmBetragJaehrl2*(1+Param.SonstigRegelmSteig2)^($A51-Param.SonstigRegelmJahrBeginn2))</f>
        <v>0</v>
      </c>
      <c r="F51" s="40">
        <f aca="1">IF(OR($A51&lt;Param.SonstigRegelmJahrBeginn3,$A51&gt;Param.SonstigRegelmJahrEnd3),0,Param.SonstigRegelmBetragJaehrl3*(1+Param.SonstigRegelmSteig3)^($A51-Param.SonstigRegelmJahrBeginn3))</f>
        <v>0</v>
      </c>
      <c r="G51" s="40">
        <f aca="1">IF(OR($A51&lt;Param.SonstigRegelmJahrBeginn4,$A51&gt;Param.SonstigRegelmJahrEnd4),0,Param.SonstigRegelmBetragJaehrl4*(1+Param.SonstigRegelmSteig4)^($A51-Param.SonstigRegelmJahrBeginn4))</f>
        <v>0</v>
      </c>
      <c r="H51" s="40">
        <f aca="1">IF(OR($A51&lt;Param.SonstigRegelmJahrBeginn5,$A51&gt;Param.SonstigRegelmJahrEnd5),0,Param.SonstigRegelmBetragJaehrl5*(1+Param.SonstigRegelmSteig5)^($A51-Param.SonstigRegelmJahrBeginn5))</f>
        <v>0</v>
      </c>
      <c r="I51" s="40">
        <f aca="1">IF(OR($A51&lt;Param.SonstigRegelmJahrBeginn6,$A51&gt;Param.SonstigRegelmJahrEnd6),0,Param.SonstigRegelmBetragJaehrl6*(1+Param.SonstigRegelmSteig6)^($A51-Param.SonstigRegelmJahrBeginn6))</f>
        <v>0</v>
      </c>
      <c r="J51" s="40">
        <f aca="1">IF(OR($A51&lt;Param.SonstigRegelmJahrBeginn7,$A51&gt;Param.SonstigRegelmJahrEnd7),0,Param.SonstigRegelmBetragJaehrl7*(1+Param.SonstigRegelmSteig7)^($A51-Param.SonstigRegelmJahrBeginn7))</f>
        <v>0</v>
      </c>
      <c r="K51" s="40">
        <f aca="1">IF(OR($A51&lt;Param.SonstigRegelmJahrBeginn8,$A51&gt;Param.SonstigRegelmJahrEnd8),0,Param.SonstigRegelmBetragJaehrl8*(1+Param.SonstigRegelmSteig8)^($A51-Param.SonstigRegelmJahrBeginn8))</f>
        <v>0</v>
      </c>
      <c r="L51" s="40">
        <f aca="1">IF(OR($A51&lt;Param.SonstigRegelmJahrBeginn9,$A51&gt;Param.SonstigRegelmJahrEnd9),0,Param.SonstigRegelmBetragJaehrl9*(1+Param.SonstigRegelmSteig9)^($A51-Param.SonstigRegelmJahrBeginn9))</f>
        <v>0</v>
      </c>
      <c r="M51" s="40">
        <f aca="1">IF(OR($A51&lt;Param.SonstigRegelmJahrBeginn10,$A51&gt;Param.SonstigRegelmJahrEnd10),0,Param.SonstigRegelmBetragJaehrl10*(1+Param.SonstigRegelmSteig10)^($A51-Param.SonstigRegelmJahrBeginn10))</f>
        <v>0</v>
      </c>
      <c r="N51" s="10">
        <f>MAX(0,C51-SUM(D51:M51))</f>
        <v>73729.1909175499022</v>
      </c>
      <c r="O51" s="10">
        <f>IF(N51&lt;=0,SUM(D51:M51)-C51,0)</f>
        <v>0</v>
      </c>
      <c r="P51" s="10">
        <f>S51+AP51</f>
        <v>697573.299451821949</v>
      </c>
      <c r="Q51" s="11">
        <f>IF(P51&gt;0,S51/P51,0)</f>
        <v>0.838885742258245592</v>
      </c>
      <c r="R51" s="11">
        <f>IF(P51&gt;0,AP51/P51,0)</f>
        <v>0.161114257741754603</v>
      </c>
      <c r="S51" s="10">
        <f>AL50</f>
        <v>585184.295090175234</v>
      </c>
      <c r="T51" s="40">
        <f>AM50</f>
        <v>549184.949513311032</v>
      </c>
      <c r="U51" s="40">
        <f aca="1">IF(A51&lt;Param.FireStartjahr,Param.SparrateDepotMonatl*12*(1+Param.SparrateDynamikJaehrl)^($A51-Param.Startjahr),0)</f>
        <v>0</v>
      </c>
      <c r="V51" s="40">
        <f aca="1">IF(AND(Param.SonstigEinmaligKonto1="Depot",$A51=Param.SonstigEinmaligJahr1),Param.SonstigEinmaligBetrag1,0)</f>
        <v>0</v>
      </c>
      <c r="W51" s="40">
        <f aca="1">IF(AND(Param.SonstigEinmaligKonto2="Depot",$A51=Param.SonstigEinmaligJahr2),Param.SonstigEinmaligBetrag2,0)</f>
        <v>0</v>
      </c>
      <c r="X51" s="40">
        <f aca="1">IF(AND(Param.SonstigEinmaligKonto3="Depot",$A51=Param.SonstigEinmaligJahr3),Param.SonstigEinmaligBetrag3,0)</f>
        <v>0</v>
      </c>
      <c r="Y51" s="40">
        <f aca="1">IF(AND(Param.SonstigEinmaligKonto4="Depot",$A51=Param.SonstigEinmaligJahr4),Param.SonstigEinmaligBetrag4,0)</f>
        <v>0</v>
      </c>
      <c r="Z51" s="40">
        <f aca="1">IF(AND(Param.SonstigEinmaligKonto5="Depot",$A51=Param.SonstigEinmaligJahr5),Param.SonstigEinmaligBetrag5,0)</f>
        <v>0</v>
      </c>
      <c r="AA51" s="40">
        <f aca="1">IF(AND(Param.SonstigEinmaligKonto6="Depot",$A51=Param.SonstigEinmaligJahr6),Param.SonstigEinmaligBetrag6,0)</f>
        <v>0</v>
      </c>
      <c r="AB51" s="40">
        <f aca="1">IF(AND(Param.SonstigEinmaligKonto7="Depot",$A51=Param.SonstigEinmaligJahr7),Param.SonstigEinmaligBetrag7,0)</f>
        <v>0</v>
      </c>
      <c r="AC51" s="40">
        <f aca="1">IF(AND(Param.SonstigEinmaligKonto8="Depot",$A51=Param.SonstigEinmaligJahr8),Param.SonstigEinmaligBetrag8,0)</f>
        <v>0</v>
      </c>
      <c r="AD51" s="40">
        <f aca="1">IF(AND(Param.SonstigEinmaligKonto9="Depot",$A51=Param.SonstigEinmaligJahr9),Param.SonstigEinmaligBetrag9,0)</f>
        <v>0</v>
      </c>
      <c r="AE51" s="40">
        <f aca="1">IF(AND(Param.SonstigEinmaligKonto10="Depot",$A51=Param.SonstigEinmaligJahr10),Param.SonstigEinmaligBetrag10,0)</f>
        <v>0</v>
      </c>
      <c r="AF51" s="40">
        <f aca="1">Param.SparerPauschbetrag-BF51</f>
        <v>0</v>
      </c>
      <c r="AG51" s="40">
        <f aca="1">IF(AND(A51&gt;=Param.FireStartjahr,S51&gt;0),MIN(N51*Q51,S51),0)</f>
        <v>61850.3670489687793</v>
      </c>
      <c r="AH51" s="40">
        <f aca="1">IF(AG51&lt;=0,0,IF(S51&lt;=0,0,AG51/(1-MAX(0,((T51/S51)*(1-Param.Teilfreistellung)-MIN(AF51,AG51)/AG51)*Param.KapSt))))</f>
        <v>74813.0115341049823</v>
      </c>
      <c r="AI51" s="40">
        <f>AH51-AG51</f>
        <v>12962.6444851361957</v>
      </c>
      <c r="AJ51" s="40">
        <f>T51-AH51*(T51/S51)</f>
        <v>478974.28202442202</v>
      </c>
      <c r="AK51" s="40">
        <f>S51-AH51</f>
        <v>510371.283556070004</v>
      </c>
      <c r="AL51" s="40">
        <f>FV(AO51,12,-(U51/12),-AK51,0)</f>
        <v>540993.56056941417</v>
      </c>
      <c r="AM51" s="40">
        <f>AJ51+AL51-AK51-U51</f>
        <v>509596.559037770028</v>
      </c>
      <c r="AN51" s="5">
        <f>AM51/AL51</f>
        <v>0.941964186230613265</v>
      </c>
      <c r="AO51" s="5">
        <f aca="1">(1+IF(AND(A51&gt;=Param.DepotRenditeSpezBeginn1,A51&lt;=Param.DepotRenditeSpezEnde1),Param.DepotRenditeSpezProz1,IF(AND(A51&gt;=Param.DepotRenditeSpezBeginn2,A51&lt;=Param.DepotRenditeSpezEnde2),Param.DepotRenditeSpezProz2,IF(AND(A51&gt;=Param.DepotRenditeSpezBeginn3,A51&lt;=Param.DepotRenditeSpezEnde3),Param.DepotRenditeSpezProz3,IF(AND(A51&gt;=Param.DepotRenditeSpezBeginn4,A51&lt;=Param.DepotRenditeSpezEnde4),Param.DepotRenditeSpezProz4,IF(AND(A51&gt;=Param.DepotRenditeSpezBeginn5,A51&lt;=Param.DepotRenditeSpezEnde5),Param.DepotRenditeSpezProz5,Param.DepotRenditeDefault))))))^(1/12)-1</f>
        <v>0.00486755056533993979</v>
      </c>
      <c r="AP51" s="40">
        <f>BJ50</f>
        <v>112389.004361647269</v>
      </c>
      <c r="AQ51" s="40">
        <f aca="1">IF(A51&lt;Param.FireStartjahr,Param.SparrateFestgeldMonatl*12*(1+Param.SparrateDynamikJaehrl)^($A51-Param.Startjahr),0)</f>
        <v>0</v>
      </c>
      <c r="AR51" s="40">
        <f>O51</f>
        <v>0</v>
      </c>
      <c r="AS51" s="40">
        <f aca="1">IF(AND(Param.SonstigEinmaligKonto1="Festgeld",$A51=Param.SonstigEinmaligJahr1),Param.SonstigEinmaligBetrag1,0)</f>
        <v>0</v>
      </c>
      <c r="AT51" s="40">
        <f aca="1">IF(AND(Param.SonstigEinmaligKonto2="Festgeld",$A51=Param.SonstigEinmaligJahr2),Param.SonstigEinmaligBetrag2,0)</f>
        <v>0</v>
      </c>
      <c r="AU51" s="40">
        <f aca="1">IF(AND(Param.SonstigEinmaligKonto3="Festgeld",$A51=Param.SonstigEinmaligJahr3),Param.SonstigEinmaligBetrag3,0)</f>
        <v>0</v>
      </c>
      <c r="AV51" s="40">
        <f aca="1">IF(AND(Param.SonstigEinmaligKonto4="Festgeld",$A51=Param.SonstigEinmaligJahr4),Param.SonstigEinmaligBetrag4,0)</f>
        <v>0</v>
      </c>
      <c r="AW51" s="40">
        <f aca="1">IF(AND(Param.SonstigEinmaligKonto5="Festgeld",$A51=Param.SonstigEinmaligJahr5),Param.SonstigEinmaligBetrag5,0)</f>
        <v>0</v>
      </c>
      <c r="AX51" s="40">
        <f aca="1">IF(AND(Param.SonstigEinmaligKonto6="Festgeld",$A51=Param.SonstigEinmaligJahr6),Param.SonstigEinmaligBetrag6,0)</f>
        <v>0</v>
      </c>
      <c r="AY51" s="40">
        <f aca="1">IF(AND(Param.SonstigEinmaligKonto7="Festgeld",$A51=Param.SonstigEinmaligJahr7),Param.SonstigEinmaligBetrag7,0)</f>
        <v>0</v>
      </c>
      <c r="AZ51" s="40">
        <f aca="1">IF(AND(Param.SonstigEinmaligKonto8="Festgeld",$A51=Param.SonstigEinmaligJahr8),Param.SonstigEinmaligBetrag8,0)</f>
        <v>0</v>
      </c>
      <c r="BA51" s="40">
        <f aca="1">IF(AND(Param.SonstigEinmaligKonto9="Festgeld",$A51=Param.SonstigEinmaligJahr9),Param.SonstigEinmaligBetrag9,0)</f>
        <v>0</v>
      </c>
      <c r="BB51" s="40">
        <f aca="1">IF(AND(Param.SonstigEinmaligKonto10="Festgeld",$A51=Param.SonstigEinmaligJahr10),Param.SonstigEinmaligBetrag10,0)</f>
        <v>0</v>
      </c>
      <c r="BC51" s="40">
        <f aca="1">IF(AND(A51&gt;=Param.FireStartjahr,AP51&gt;0),MIN(N51*R51,AP51),0)</f>
        <v>11878.8238685811975</v>
      </c>
      <c r="BD51" s="5">
        <f aca="1">Param.FestgeldZinssatz</f>
        <v>0.02</v>
      </c>
      <c r="BE51" s="40">
        <f>(AP51+AQ51-BC51)*BD51</f>
        <v>2010.20360986132005</v>
      </c>
      <c r="BF51" s="40">
        <f aca="1">IF(BE51&gt;Param.SparerPauschbetrag,Param.SparerPauschbetrag,BE51)</f>
        <v>1000</v>
      </c>
      <c r="BG51" s="40">
        <f>BE51-BF51</f>
        <v>1010.20360986132005</v>
      </c>
      <c r="BH51" s="40">
        <f aca="1">BG51*Param.KapSt</f>
        <v>266.441202100923135</v>
      </c>
      <c r="BI51" s="40">
        <f>BE51-BH51</f>
        <v>1743.76240776039708</v>
      </c>
      <c r="BJ51" s="63">
        <f>AP51+SUM(AQ51:BB51)-BC51+BI51</f>
        <v>102253.942900826398</v>
      </c>
      <c r="BK51" s="40">
        <f>AL51+BJ51</f>
        <v>643247.503470240044</v>
      </c>
      <c r="BL51" s="40">
        <f aca="1">BK51/(1+Param.Inflationsrate)^(A51-Param.Startjahr)</f>
        <v>206576.208114255511</v>
      </c>
      <c r="BM51" s="52" t="str">
        <f>IF(BK51&lt;N51,A51,"")</f>
        <v/>
      </c>
      <c r="BN51" s="40">
        <f>AH51+BC51</f>
        <v>86691.8354026861925</v>
      </c>
      <c r="BO51" s="40">
        <f>SUM(AR51:BB51)</f>
        <v>0</v>
      </c>
      <c r="BP51" s="40">
        <f>BN51+(-1*BO51)</f>
        <v>86691.8354026862071</v>
      </c>
      <c r="BQ51" s="40">
        <f>AI51+BH51</f>
        <v>13229.0856872371223</v>
      </c>
      <c r="BR51" s="5">
        <f>IF(BK51&gt;0,BP51/BK51,0)</f>
        <v>0.134772128822878523</v>
      </c>
    </row>
    <row r="52" spans="1:70">
      <c r="A52">
        <f>A51+1</f>
        <v>2073</v>
      </c>
      <c r="B52">
        <f>B5+(48-1)</f>
        <v>77</v>
      </c>
      <c r="C52" s="10">
        <f aca="1">IF(A52&lt;Param.FireStartjahr,0,Param.EntnahmeBetragStart*(1+Param.Inflationsrate)^(A52-Param.Startjahr))</f>
        <v>95750.9139715151978</v>
      </c>
      <c r="D52" s="40">
        <f aca="1">IF(OR($A52&lt;Param.SonstigRegelmJahrBeginn1,$A52&gt;Param.SonstigRegelmJahrEnd1),0,Param.SonstigRegelmBetragJaehrl1*(1+Param.SonstigRegelmSteig1)^(A52-Param.SonstigRegelmJahrBeginn1))</f>
        <v>19883.1982574016001</v>
      </c>
      <c r="E52" s="40">
        <f aca="1">IF(OR($A52&lt;Param.SonstigRegelmJahrBeginn2,$A52&gt;Param.SonstigRegelmJahrEnd2),0,Param.SonstigRegelmBetragJaehrl2*(1+Param.SonstigRegelmSteig2)^($A52-Param.SonstigRegelmJahrBeginn2))</f>
        <v>0</v>
      </c>
      <c r="F52" s="40">
        <f aca="1">IF(OR($A52&lt;Param.SonstigRegelmJahrBeginn3,$A52&gt;Param.SonstigRegelmJahrEnd3),0,Param.SonstigRegelmBetragJaehrl3*(1+Param.SonstigRegelmSteig3)^($A52-Param.SonstigRegelmJahrBeginn3))</f>
        <v>0</v>
      </c>
      <c r="G52" s="40">
        <f aca="1">IF(OR($A52&lt;Param.SonstigRegelmJahrBeginn4,$A52&gt;Param.SonstigRegelmJahrEnd4),0,Param.SonstigRegelmBetragJaehrl4*(1+Param.SonstigRegelmSteig4)^($A52-Param.SonstigRegelmJahrBeginn4))</f>
        <v>0</v>
      </c>
      <c r="H52" s="40">
        <f aca="1">IF(OR($A52&lt;Param.SonstigRegelmJahrBeginn5,$A52&gt;Param.SonstigRegelmJahrEnd5),0,Param.SonstigRegelmBetragJaehrl5*(1+Param.SonstigRegelmSteig5)^($A52-Param.SonstigRegelmJahrBeginn5))</f>
        <v>0</v>
      </c>
      <c r="I52" s="40">
        <f aca="1">IF(OR($A52&lt;Param.SonstigRegelmJahrBeginn6,$A52&gt;Param.SonstigRegelmJahrEnd6),0,Param.SonstigRegelmBetragJaehrl6*(1+Param.SonstigRegelmSteig6)^($A52-Param.SonstigRegelmJahrBeginn6))</f>
        <v>0</v>
      </c>
      <c r="J52" s="40">
        <f aca="1">IF(OR($A52&lt;Param.SonstigRegelmJahrBeginn7,$A52&gt;Param.SonstigRegelmJahrEnd7),0,Param.SonstigRegelmBetragJaehrl7*(1+Param.SonstigRegelmSteig7)^($A52-Param.SonstigRegelmJahrBeginn7))</f>
        <v>0</v>
      </c>
      <c r="K52" s="40">
        <f aca="1">IF(OR($A52&lt;Param.SonstigRegelmJahrBeginn8,$A52&gt;Param.SonstigRegelmJahrEnd8),0,Param.SonstigRegelmBetragJaehrl8*(1+Param.SonstigRegelmSteig8)^($A52-Param.SonstigRegelmJahrBeginn8))</f>
        <v>0</v>
      </c>
      <c r="L52" s="40">
        <f aca="1">IF(OR($A52&lt;Param.SonstigRegelmJahrBeginn9,$A52&gt;Param.SonstigRegelmJahrEnd9),0,Param.SonstigRegelmBetragJaehrl9*(1+Param.SonstigRegelmSteig9)^($A52-Param.SonstigRegelmJahrBeginn9))</f>
        <v>0</v>
      </c>
      <c r="M52" s="40">
        <f aca="1">IF(OR($A52&lt;Param.SonstigRegelmJahrBeginn10,$A52&gt;Param.SonstigRegelmJahrEnd10),0,Param.SonstigRegelmBetragJaehrl10*(1+Param.SonstigRegelmSteig10)^($A52-Param.SonstigRegelmJahrBeginn10))</f>
        <v>0</v>
      </c>
      <c r="N52" s="10">
        <f>MAX(0,C52-SUM(D52:M52))</f>
        <v>75867.7157141135976</v>
      </c>
      <c r="O52" s="10">
        <f>IF(N52&lt;=0,SUM(D52:M52)-C52,0)</f>
        <v>0</v>
      </c>
      <c r="P52" s="10">
        <f>S52+AP52</f>
        <v>643247.503470240044</v>
      </c>
      <c r="Q52" s="11">
        <f>IF(P52&gt;0,S52/P52,0)</f>
        <v>0.841034839079547503</v>
      </c>
      <c r="R52" s="11">
        <f>IF(P52&gt;0,AP52/P52,0)</f>
        <v>0.158965160920452453</v>
      </c>
      <c r="S52" s="10">
        <f>AL51</f>
        <v>540993.56056941417</v>
      </c>
      <c r="T52" s="40">
        <f>AM51</f>
        <v>509596.559037770028</v>
      </c>
      <c r="U52" s="40">
        <f aca="1">IF(A52&lt;Param.FireStartjahr,Param.SparrateDepotMonatl*12*(1+Param.SparrateDynamikJaehrl)^($A52-Param.Startjahr),0)</f>
        <v>0</v>
      </c>
      <c r="V52" s="40">
        <f aca="1">IF(AND(Param.SonstigEinmaligKonto1="Depot",$A52=Param.SonstigEinmaligJahr1),Param.SonstigEinmaligBetrag1,0)</f>
        <v>0</v>
      </c>
      <c r="W52" s="40">
        <f aca="1">IF(AND(Param.SonstigEinmaligKonto2="Depot",$A52=Param.SonstigEinmaligJahr2),Param.SonstigEinmaligBetrag2,0)</f>
        <v>0</v>
      </c>
      <c r="X52" s="40">
        <f aca="1">IF(AND(Param.SonstigEinmaligKonto3="Depot",$A52=Param.SonstigEinmaligJahr3),Param.SonstigEinmaligBetrag3,0)</f>
        <v>0</v>
      </c>
      <c r="Y52" s="40">
        <f aca="1">IF(AND(Param.SonstigEinmaligKonto4="Depot",$A52=Param.SonstigEinmaligJahr4),Param.SonstigEinmaligBetrag4,0)</f>
        <v>0</v>
      </c>
      <c r="Z52" s="40">
        <f aca="1">IF(AND(Param.SonstigEinmaligKonto5="Depot",$A52=Param.SonstigEinmaligJahr5),Param.SonstigEinmaligBetrag5,0)</f>
        <v>0</v>
      </c>
      <c r="AA52" s="40">
        <f aca="1">IF(AND(Param.SonstigEinmaligKonto6="Depot",$A52=Param.SonstigEinmaligJahr6),Param.SonstigEinmaligBetrag6,0)</f>
        <v>0</v>
      </c>
      <c r="AB52" s="40">
        <f aca="1">IF(AND(Param.SonstigEinmaligKonto7="Depot",$A52=Param.SonstigEinmaligJahr7),Param.SonstigEinmaligBetrag7,0)</f>
        <v>0</v>
      </c>
      <c r="AC52" s="40">
        <f aca="1">IF(AND(Param.SonstigEinmaligKonto8="Depot",$A52=Param.SonstigEinmaligJahr8),Param.SonstigEinmaligBetrag8,0)</f>
        <v>0</v>
      </c>
      <c r="AD52" s="40">
        <f aca="1">IF(AND(Param.SonstigEinmaligKonto9="Depot",$A52=Param.SonstigEinmaligJahr9),Param.SonstigEinmaligBetrag9,0)</f>
        <v>0</v>
      </c>
      <c r="AE52" s="40">
        <f aca="1">IF(AND(Param.SonstigEinmaligKonto10="Depot",$A52=Param.SonstigEinmaligJahr10),Param.SonstigEinmaligBetrag10,0)</f>
        <v>0</v>
      </c>
      <c r="AF52" s="40">
        <f aca="1">Param.SparerPauschbetrag-BF52</f>
        <v>0</v>
      </c>
      <c r="AG52" s="40">
        <f aca="1">IF(AND(A52&gt;=Param.FireStartjahr,S52&gt;0),MIN(N52*Q52,S52),0)</f>
        <v>63807.3920769524266</v>
      </c>
      <c r="AH52" s="40">
        <f aca="1">IF(AG52&lt;=0,0,IF(S52&lt;=0,0,AG52/(1-MAX(0,((T52/S52)*(1-Param.Teilfreistellung)-MIN(AF52,AG52)/AG52)*Param.KapSt))))</f>
        <v>77240.2555739171221</v>
      </c>
      <c r="AI52" s="40">
        <f>AH52-AG52</f>
        <v>13432.8634969646955</v>
      </c>
      <c r="AJ52" s="40">
        <f>T52-AH52*(T52/S52)</f>
        <v>436839.004551840597</v>
      </c>
      <c r="AK52" s="40">
        <f>S52-AH52</f>
        <v>463753.30499549699</v>
      </c>
      <c r="AL52" s="40">
        <f>FV(AO52,12,-(U52/12),-AK52,0)</f>
        <v>491578.503295208619</v>
      </c>
      <c r="AM52" s="40">
        <f>AJ52+AL52-AK52-U52</f>
        <v>464664.202851552982</v>
      </c>
      <c r="AN52" s="5">
        <f>AM52/AL52</f>
        <v>0.945249232293029884</v>
      </c>
      <c r="AO52" s="5">
        <f aca="1">(1+IF(AND(A52&gt;=Param.DepotRenditeSpezBeginn1,A52&lt;=Param.DepotRenditeSpezEnde1),Param.DepotRenditeSpezProz1,IF(AND(A52&gt;=Param.DepotRenditeSpezBeginn2,A52&lt;=Param.DepotRenditeSpezEnde2),Param.DepotRenditeSpezProz2,IF(AND(A52&gt;=Param.DepotRenditeSpezBeginn3,A52&lt;=Param.DepotRenditeSpezEnde3),Param.DepotRenditeSpezProz3,IF(AND(A52&gt;=Param.DepotRenditeSpezBeginn4,A52&lt;=Param.DepotRenditeSpezEnde4),Param.DepotRenditeSpezProz4,IF(AND(A52&gt;=Param.DepotRenditeSpezBeginn5,A52&lt;=Param.DepotRenditeSpezEnde5),Param.DepotRenditeSpezProz5,Param.DepotRenditeDefault))))))^(1/12)-1</f>
        <v>0.00486755056533993979</v>
      </c>
      <c r="AP52" s="40">
        <f>BJ51</f>
        <v>102253.942900826398</v>
      </c>
      <c r="AQ52" s="40">
        <f aca="1">IF(A52&lt;Param.FireStartjahr,Param.SparrateFestgeldMonatl*12*(1+Param.SparrateDynamikJaehrl)^($A52-Param.Startjahr),0)</f>
        <v>0</v>
      </c>
      <c r="AR52" s="40">
        <f>O52</f>
        <v>0</v>
      </c>
      <c r="AS52" s="40">
        <f aca="1">IF(AND(Param.SonstigEinmaligKonto1="Festgeld",$A52=Param.SonstigEinmaligJahr1),Param.SonstigEinmaligBetrag1,0)</f>
        <v>0</v>
      </c>
      <c r="AT52" s="40">
        <f aca="1">IF(AND(Param.SonstigEinmaligKonto2="Festgeld",$A52=Param.SonstigEinmaligJahr2),Param.SonstigEinmaligBetrag2,0)</f>
        <v>0</v>
      </c>
      <c r="AU52" s="40">
        <f aca="1">IF(AND(Param.SonstigEinmaligKonto3="Festgeld",$A52=Param.SonstigEinmaligJahr3),Param.SonstigEinmaligBetrag3,0)</f>
        <v>0</v>
      </c>
      <c r="AV52" s="40">
        <f aca="1">IF(AND(Param.SonstigEinmaligKonto4="Festgeld",$A52=Param.SonstigEinmaligJahr4),Param.SonstigEinmaligBetrag4,0)</f>
        <v>0</v>
      </c>
      <c r="AW52" s="40">
        <f aca="1">IF(AND(Param.SonstigEinmaligKonto5="Festgeld",$A52=Param.SonstigEinmaligJahr5),Param.SonstigEinmaligBetrag5,0)</f>
        <v>0</v>
      </c>
      <c r="AX52" s="40">
        <f aca="1">IF(AND(Param.SonstigEinmaligKonto6="Festgeld",$A52=Param.SonstigEinmaligJahr6),Param.SonstigEinmaligBetrag6,0)</f>
        <v>0</v>
      </c>
      <c r="AY52" s="40">
        <f aca="1">IF(AND(Param.SonstigEinmaligKonto7="Festgeld",$A52=Param.SonstigEinmaligJahr7),Param.SonstigEinmaligBetrag7,0)</f>
        <v>0</v>
      </c>
      <c r="AZ52" s="40">
        <f aca="1">IF(AND(Param.SonstigEinmaligKonto8="Festgeld",$A52=Param.SonstigEinmaligJahr8),Param.SonstigEinmaligBetrag8,0)</f>
        <v>0</v>
      </c>
      <c r="BA52" s="40">
        <f aca="1">IF(AND(Param.SonstigEinmaligKonto9="Festgeld",$A52=Param.SonstigEinmaligJahr9),Param.SonstigEinmaligBetrag9,0)</f>
        <v>0</v>
      </c>
      <c r="BB52" s="40">
        <f aca="1">IF(AND(Param.SonstigEinmaligKonto10="Festgeld",$A52=Param.SonstigEinmaligJahr10),Param.SonstigEinmaligBetrag10,0)</f>
        <v>0</v>
      </c>
      <c r="BC52" s="40">
        <f aca="1">IF(AND(A52&gt;=Param.FireStartjahr,AP52&gt;0),MIN(N52*R52,AP52),0)</f>
        <v>12060.3236371611711</v>
      </c>
      <c r="BD52" s="5">
        <f aca="1">Param.FestgeldZinssatz</f>
        <v>0.02</v>
      </c>
      <c r="BE52" s="40">
        <f>(AP52+AQ52-BC52)*BD52</f>
        <v>1803.87238527329623</v>
      </c>
      <c r="BF52" s="40">
        <f aca="1">IF(BE52&gt;Param.SparerPauschbetrag,Param.SparerPauschbetrag,BE52)</f>
        <v>1000</v>
      </c>
      <c r="BG52" s="40">
        <f>BE52-BF52</f>
        <v>803.872385273300097</v>
      </c>
      <c r="BH52" s="40">
        <f aca="1">BG52*Param.KapSt</f>
        <v>212.021341615832853</v>
      </c>
      <c r="BI52" s="40">
        <f>BE52-BH52</f>
        <v>1591.85104365746702</v>
      </c>
      <c r="BJ52" s="63">
        <f>AP52+SUM(AQ52:BB52)-BC52+BI52</f>
        <v>91785.4703073222772</v>
      </c>
      <c r="BK52" s="40">
        <f>AL52+BJ52</f>
        <v>583363.973602531361</v>
      </c>
      <c r="BL52" s="40">
        <f aca="1">BK52/(1+Param.Inflationsrate)^(A52-Param.Startjahr)</f>
        <v>182775.47944119107</v>
      </c>
      <c r="BM52" s="52" t="str">
        <f>IF(BK52&lt;N52,A52,"")</f>
        <v/>
      </c>
      <c r="BN52" s="40">
        <f>AH52+BC52</f>
        <v>89300.5792110782932</v>
      </c>
      <c r="BO52" s="40">
        <f>SUM(AR52:BB52)</f>
        <v>0</v>
      </c>
      <c r="BP52" s="40">
        <f>BN52+(-1*BO52)</f>
        <v>89300.5792110782932</v>
      </c>
      <c r="BQ52" s="40">
        <f>AI52+BH52</f>
        <v>13644.8848385805322</v>
      </c>
      <c r="BR52" s="5">
        <f>IF(BK52&gt;0,BP52/BK52,0)</f>
        <v>0.153078666582044232</v>
      </c>
    </row>
    <row r="53" spans="1:70">
      <c r="A53">
        <f>A52+1</f>
        <v>2074</v>
      </c>
      <c r="B53">
        <f>B5+(49-1)</f>
        <v>78</v>
      </c>
      <c r="C53" s="10">
        <f aca="1">IF(A53&lt;Param.FireStartjahr,0,Param.EntnahmeBetragStart*(1+Param.Inflationsrate)^(A53-Param.Startjahr))</f>
        <v>98144.6868208029045</v>
      </c>
      <c r="D53" s="40">
        <f aca="1">IF(OR($A53&lt;Param.SonstigRegelmJahrBeginn1,$A53&gt;Param.SonstigRegelmJahrEnd1),0,Param.SonstigRegelmBetragJaehrl1*(1+Param.SonstigRegelmSteig1)^(A53-Param.SonstigRegelmJahrBeginn1))</f>
        <v>20082.0302399757602</v>
      </c>
      <c r="E53" s="40">
        <f aca="1">IF(OR($A53&lt;Param.SonstigRegelmJahrBeginn2,$A53&gt;Param.SonstigRegelmJahrEnd2),0,Param.SonstigRegelmBetragJaehrl2*(1+Param.SonstigRegelmSteig2)^($A53-Param.SonstigRegelmJahrBeginn2))</f>
        <v>0</v>
      </c>
      <c r="F53" s="40">
        <f aca="1">IF(OR($A53&lt;Param.SonstigRegelmJahrBeginn3,$A53&gt;Param.SonstigRegelmJahrEnd3),0,Param.SonstigRegelmBetragJaehrl3*(1+Param.SonstigRegelmSteig3)^($A53-Param.SonstigRegelmJahrBeginn3))</f>
        <v>0</v>
      </c>
      <c r="G53" s="40">
        <f aca="1">IF(OR($A53&lt;Param.SonstigRegelmJahrBeginn4,$A53&gt;Param.SonstigRegelmJahrEnd4),0,Param.SonstigRegelmBetragJaehrl4*(1+Param.SonstigRegelmSteig4)^($A53-Param.SonstigRegelmJahrBeginn4))</f>
        <v>0</v>
      </c>
      <c r="H53" s="40">
        <f aca="1">IF(OR($A53&lt;Param.SonstigRegelmJahrBeginn5,$A53&gt;Param.SonstigRegelmJahrEnd5),0,Param.SonstigRegelmBetragJaehrl5*(1+Param.SonstigRegelmSteig5)^($A53-Param.SonstigRegelmJahrBeginn5))</f>
        <v>0</v>
      </c>
      <c r="I53" s="40">
        <f aca="1">IF(OR($A53&lt;Param.SonstigRegelmJahrBeginn6,$A53&gt;Param.SonstigRegelmJahrEnd6),0,Param.SonstigRegelmBetragJaehrl6*(1+Param.SonstigRegelmSteig6)^($A53-Param.SonstigRegelmJahrBeginn6))</f>
        <v>0</v>
      </c>
      <c r="J53" s="40">
        <f aca="1">IF(OR($A53&lt;Param.SonstigRegelmJahrBeginn7,$A53&gt;Param.SonstigRegelmJahrEnd7),0,Param.SonstigRegelmBetragJaehrl7*(1+Param.SonstigRegelmSteig7)^($A53-Param.SonstigRegelmJahrBeginn7))</f>
        <v>0</v>
      </c>
      <c r="K53" s="40">
        <f aca="1">IF(OR($A53&lt;Param.SonstigRegelmJahrBeginn8,$A53&gt;Param.SonstigRegelmJahrEnd8),0,Param.SonstigRegelmBetragJaehrl8*(1+Param.SonstigRegelmSteig8)^($A53-Param.SonstigRegelmJahrBeginn8))</f>
        <v>0</v>
      </c>
      <c r="L53" s="40">
        <f aca="1">IF(OR($A53&lt;Param.SonstigRegelmJahrBeginn9,$A53&gt;Param.SonstigRegelmJahrEnd9),0,Param.SonstigRegelmBetragJaehrl9*(1+Param.SonstigRegelmSteig9)^($A53-Param.SonstigRegelmJahrBeginn9))</f>
        <v>0</v>
      </c>
      <c r="M53" s="40">
        <f aca="1">IF(OR($A53&lt;Param.SonstigRegelmJahrBeginn10,$A53&gt;Param.SonstigRegelmJahrEnd10),0,Param.SonstigRegelmBetragJaehrl10*(1+Param.SonstigRegelmSteig10)^($A53-Param.SonstigRegelmJahrBeginn10))</f>
        <v>0</v>
      </c>
      <c r="N53" s="10">
        <f>MAX(0,C53-SUM(D53:M53))</f>
        <v>78062.6565808271116</v>
      </c>
      <c r="O53" s="10">
        <f>IF(N53&lt;=0,SUM(D53:M53)-C53,0)</f>
        <v>0</v>
      </c>
      <c r="P53" s="10">
        <f>S53+AP53</f>
        <v>583363.973602531361</v>
      </c>
      <c r="Q53" s="11">
        <f>IF(P53&gt;0,S53/P53,0)</f>
        <v>0.842661743850059786</v>
      </c>
      <c r="R53" s="11">
        <f>IF(P53&gt;0,AP53/P53,0)</f>
        <v>0.157338256149940765</v>
      </c>
      <c r="S53" s="10">
        <f>AL52</f>
        <v>491578.503295208619</v>
      </c>
      <c r="T53" s="40">
        <f>AM52</f>
        <v>464664.202851552982</v>
      </c>
      <c r="U53" s="40">
        <f aca="1">IF(A53&lt;Param.FireStartjahr,Param.SparrateDepotMonatl*12*(1+Param.SparrateDynamikJaehrl)^($A53-Param.Startjahr),0)</f>
        <v>0</v>
      </c>
      <c r="V53" s="40">
        <f aca="1">IF(AND(Param.SonstigEinmaligKonto1="Depot",$A53=Param.SonstigEinmaligJahr1),Param.SonstigEinmaligBetrag1,0)</f>
        <v>0</v>
      </c>
      <c r="W53" s="40">
        <f aca="1">IF(AND(Param.SonstigEinmaligKonto2="Depot",$A53=Param.SonstigEinmaligJahr2),Param.SonstigEinmaligBetrag2,0)</f>
        <v>0</v>
      </c>
      <c r="X53" s="40">
        <f aca="1">IF(AND(Param.SonstigEinmaligKonto3="Depot",$A53=Param.SonstigEinmaligJahr3),Param.SonstigEinmaligBetrag3,0)</f>
        <v>0</v>
      </c>
      <c r="Y53" s="40">
        <f aca="1">IF(AND(Param.SonstigEinmaligKonto4="Depot",$A53=Param.SonstigEinmaligJahr4),Param.SonstigEinmaligBetrag4,0)</f>
        <v>0</v>
      </c>
      <c r="Z53" s="40">
        <f aca="1">IF(AND(Param.SonstigEinmaligKonto5="Depot",$A53=Param.SonstigEinmaligJahr5),Param.SonstigEinmaligBetrag5,0)</f>
        <v>0</v>
      </c>
      <c r="AA53" s="40">
        <f aca="1">IF(AND(Param.SonstigEinmaligKonto6="Depot",$A53=Param.SonstigEinmaligJahr6),Param.SonstigEinmaligBetrag6,0)</f>
        <v>0</v>
      </c>
      <c r="AB53" s="40">
        <f aca="1">IF(AND(Param.SonstigEinmaligKonto7="Depot",$A53=Param.SonstigEinmaligJahr7),Param.SonstigEinmaligBetrag7,0)</f>
        <v>0</v>
      </c>
      <c r="AC53" s="40">
        <f aca="1">IF(AND(Param.SonstigEinmaligKonto8="Depot",$A53=Param.SonstigEinmaligJahr8),Param.SonstigEinmaligBetrag8,0)</f>
        <v>0</v>
      </c>
      <c r="AD53" s="40">
        <f aca="1">IF(AND(Param.SonstigEinmaligKonto9="Depot",$A53=Param.SonstigEinmaligJahr9),Param.SonstigEinmaligBetrag9,0)</f>
        <v>0</v>
      </c>
      <c r="AE53" s="40">
        <f aca="1">IF(AND(Param.SonstigEinmaligKonto10="Depot",$A53=Param.SonstigEinmaligJahr10),Param.SonstigEinmaligBetrag10,0)</f>
        <v>0</v>
      </c>
      <c r="AF53" s="40">
        <f aca="1">Param.SparerPauschbetrag-BF53</f>
        <v>0</v>
      </c>
      <c r="AG53" s="40">
        <f aca="1">IF(AND(A53&gt;=Param.FireStartjahr,S53&gt;0),MIN(N53*Q53,S53),0)</f>
        <v>65780.4143239681289</v>
      </c>
      <c r="AH53" s="40">
        <f aca="1">IF(AG53&lt;=0,0,IF(S53&lt;=0,0,AG53/(1-MAX(0,((T53/S53)*(1-Param.Teilfreistellung)-MIN(AF53,AG53)/AG53)*Param.KapSt))))</f>
        <v>79687.1475217729603</v>
      </c>
      <c r="AI53" s="40">
        <f>AH53-AG53</f>
        <v>13906.7331978049042</v>
      </c>
      <c r="AJ53" s="40">
        <f>T53-AH53*(T53/S53)</f>
        <v>389339.987832975574</v>
      </c>
      <c r="AK53" s="40">
        <f>S53-AH53</f>
        <v>411891.355773436022</v>
      </c>
      <c r="AL53" s="40">
        <f>FV(AO53,12,-(U53/12),-AK53,0)</f>
        <v>436604.837119825999</v>
      </c>
      <c r="AM53" s="40">
        <f>AJ53+AL53-AK53-U53</f>
        <v>414053.469179366017</v>
      </c>
      <c r="AN53" s="5">
        <f>AM53/AL53</f>
        <v>0.948348332351914003</v>
      </c>
      <c r="AO53" s="5">
        <f aca="1">(1+IF(AND(A53&gt;=Param.DepotRenditeSpezBeginn1,A53&lt;=Param.DepotRenditeSpezEnde1),Param.DepotRenditeSpezProz1,IF(AND(A53&gt;=Param.DepotRenditeSpezBeginn2,A53&lt;=Param.DepotRenditeSpezEnde2),Param.DepotRenditeSpezProz2,IF(AND(A53&gt;=Param.DepotRenditeSpezBeginn3,A53&lt;=Param.DepotRenditeSpezEnde3),Param.DepotRenditeSpezProz3,IF(AND(A53&gt;=Param.DepotRenditeSpezBeginn4,A53&lt;=Param.DepotRenditeSpezEnde4),Param.DepotRenditeSpezProz4,IF(AND(A53&gt;=Param.DepotRenditeSpezBeginn5,A53&lt;=Param.DepotRenditeSpezEnde5),Param.DepotRenditeSpezProz5,Param.DepotRenditeDefault))))))^(1/12)-1</f>
        <v>0.00486755056533993979</v>
      </c>
      <c r="AP53" s="40">
        <f>BJ52</f>
        <v>91785.4703073222772</v>
      </c>
      <c r="AQ53" s="40">
        <f aca="1">IF(A53&lt;Param.FireStartjahr,Param.SparrateFestgeldMonatl*12*(1+Param.SparrateDynamikJaehrl)^($A53-Param.Startjahr),0)</f>
        <v>0</v>
      </c>
      <c r="AR53" s="40">
        <f>O53</f>
        <v>0</v>
      </c>
      <c r="AS53" s="40">
        <f aca="1">IF(AND(Param.SonstigEinmaligKonto1="Festgeld",$A53=Param.SonstigEinmaligJahr1),Param.SonstigEinmaligBetrag1,0)</f>
        <v>0</v>
      </c>
      <c r="AT53" s="40">
        <f aca="1">IF(AND(Param.SonstigEinmaligKonto2="Festgeld",$A53=Param.SonstigEinmaligJahr2),Param.SonstigEinmaligBetrag2,0)</f>
        <v>0</v>
      </c>
      <c r="AU53" s="40">
        <f aca="1">IF(AND(Param.SonstigEinmaligKonto3="Festgeld",$A53=Param.SonstigEinmaligJahr3),Param.SonstigEinmaligBetrag3,0)</f>
        <v>0</v>
      </c>
      <c r="AV53" s="40">
        <f aca="1">IF(AND(Param.SonstigEinmaligKonto4="Festgeld",$A53=Param.SonstigEinmaligJahr4),Param.SonstigEinmaligBetrag4,0)</f>
        <v>0</v>
      </c>
      <c r="AW53" s="40">
        <f aca="1">IF(AND(Param.SonstigEinmaligKonto5="Festgeld",$A53=Param.SonstigEinmaligJahr5),Param.SonstigEinmaligBetrag5,0)</f>
        <v>0</v>
      </c>
      <c r="AX53" s="40">
        <f aca="1">IF(AND(Param.SonstigEinmaligKonto6="Festgeld",$A53=Param.SonstigEinmaligJahr6),Param.SonstigEinmaligBetrag6,0)</f>
        <v>0</v>
      </c>
      <c r="AY53" s="40">
        <f aca="1">IF(AND(Param.SonstigEinmaligKonto7="Festgeld",$A53=Param.SonstigEinmaligJahr7),Param.SonstigEinmaligBetrag7,0)</f>
        <v>0</v>
      </c>
      <c r="AZ53" s="40">
        <f aca="1">IF(AND(Param.SonstigEinmaligKonto8="Festgeld",$A53=Param.SonstigEinmaligJahr8),Param.SonstigEinmaligBetrag8,0)</f>
        <v>0</v>
      </c>
      <c r="BA53" s="40">
        <f aca="1">IF(AND(Param.SonstigEinmaligKonto9="Festgeld",$A53=Param.SonstigEinmaligJahr9),Param.SonstigEinmaligBetrag9,0)</f>
        <v>0</v>
      </c>
      <c r="BB53" s="40">
        <f aca="1">IF(AND(Param.SonstigEinmaligKonto10="Festgeld",$A53=Param.SonstigEinmaligJahr10),Param.SonstigEinmaligBetrag10,0)</f>
        <v>0</v>
      </c>
      <c r="BC53" s="40">
        <f aca="1">IF(AND(A53&gt;=Param.FireStartjahr,AP53&gt;0),MIN(N53*R53,AP53),0)</f>
        <v>12282.2422568590518</v>
      </c>
      <c r="BD53" s="5">
        <f aca="1">Param.FestgeldZinssatz</f>
        <v>0.02</v>
      </c>
      <c r="BE53" s="40">
        <f>(AP53+AQ53-BC53)*BD53</f>
        <v>1590.06456100926425</v>
      </c>
      <c r="BF53" s="40">
        <f aca="1">IF(BE53&gt;Param.SparerPauschbetrag,Param.SparerPauschbetrag,BE53)</f>
        <v>1000</v>
      </c>
      <c r="BG53" s="40">
        <f>BE53-BF53</f>
        <v>590.064561009259933</v>
      </c>
      <c r="BH53" s="40">
        <f aca="1">BG53*Param.KapSt</f>
        <v>155.629527966192342</v>
      </c>
      <c r="BI53" s="40">
        <f>BE53-BH53</f>
        <v>1434.43503304306796</v>
      </c>
      <c r="BJ53" s="63">
        <f>AP53+SUM(AQ53:BB53)-BC53+BI53</f>
        <v>80937.6630835062824</v>
      </c>
      <c r="BK53" s="40">
        <f>AL53+BJ53</f>
        <v>517542.500203332282</v>
      </c>
      <c r="BL53" s="40">
        <f aca="1">BK53/(1+Param.Inflationsrate)^(A53-Param.Startjahr)</f>
        <v>158197.81497136518</v>
      </c>
      <c r="BM53" s="52" t="str">
        <f>IF(BK53&lt;N53,A53,"")</f>
        <v/>
      </c>
      <c r="BN53" s="40">
        <f>AH53+BC53</f>
        <v>91969.3897786321031</v>
      </c>
      <c r="BO53" s="40">
        <f>SUM(AR53:BB53)</f>
        <v>0</v>
      </c>
      <c r="BP53" s="40">
        <f>BN53+(-1*BO53)</f>
        <v>91969.3897786321031</v>
      </c>
      <c r="BQ53" s="40">
        <f>AI53+BH53</f>
        <v>14062.3627257710923</v>
      </c>
      <c r="BR53" s="5">
        <f>IF(BK53&gt;0,BP53/BK53,0)</f>
        <v>0.177704033470679601</v>
      </c>
    </row>
    <row r="54" spans="1:70">
      <c r="A54">
        <f>A53+1</f>
        <v>2075</v>
      </c>
      <c r="B54">
        <f>B5+(50-1)</f>
        <v>79</v>
      </c>
      <c r="C54" s="10">
        <f aca="1">IF(A54&lt;Param.FireStartjahr,0,Param.EntnahmeBetragStart*(1+Param.Inflationsrate)^(A54-Param.Startjahr))</f>
        <v>100598.303991323104</v>
      </c>
      <c r="D54" s="40">
        <f aca="1">IF(OR($A54&lt;Param.SonstigRegelmJahrBeginn1,$A54&gt;Param.SonstigRegelmJahrEnd1),0,Param.SonstigRegelmBetragJaehrl1*(1+Param.SonstigRegelmSteig1)^(A54-Param.SonstigRegelmJahrBeginn1))</f>
        <v>20282.8505423754614</v>
      </c>
      <c r="E54" s="40">
        <f aca="1">IF(OR($A54&lt;Param.SonstigRegelmJahrBeginn2,$A54&gt;Param.SonstigRegelmJahrEnd2),0,Param.SonstigRegelmBetragJaehrl2*(1+Param.SonstigRegelmSteig2)^($A54-Param.SonstigRegelmJahrBeginn2))</f>
        <v>0</v>
      </c>
      <c r="F54" s="40">
        <f aca="1">IF(OR($A54&lt;Param.SonstigRegelmJahrBeginn3,$A54&gt;Param.SonstigRegelmJahrEnd3),0,Param.SonstigRegelmBetragJaehrl3*(1+Param.SonstigRegelmSteig3)^($A54-Param.SonstigRegelmJahrBeginn3))</f>
        <v>0</v>
      </c>
      <c r="G54" s="40">
        <f aca="1">IF(OR($A54&lt;Param.SonstigRegelmJahrBeginn4,$A54&gt;Param.SonstigRegelmJahrEnd4),0,Param.SonstigRegelmBetragJaehrl4*(1+Param.SonstigRegelmSteig4)^($A54-Param.SonstigRegelmJahrBeginn4))</f>
        <v>0</v>
      </c>
      <c r="H54" s="40">
        <f aca="1">IF(OR($A54&lt;Param.SonstigRegelmJahrBeginn5,$A54&gt;Param.SonstigRegelmJahrEnd5),0,Param.SonstigRegelmBetragJaehrl5*(1+Param.SonstigRegelmSteig5)^($A54-Param.SonstigRegelmJahrBeginn5))</f>
        <v>0</v>
      </c>
      <c r="I54" s="40">
        <f aca="1">IF(OR($A54&lt;Param.SonstigRegelmJahrBeginn6,$A54&gt;Param.SonstigRegelmJahrEnd6),0,Param.SonstigRegelmBetragJaehrl6*(1+Param.SonstigRegelmSteig6)^($A54-Param.SonstigRegelmJahrBeginn6))</f>
        <v>0</v>
      </c>
      <c r="J54" s="40">
        <f aca="1">IF(OR($A54&lt;Param.SonstigRegelmJahrBeginn7,$A54&gt;Param.SonstigRegelmJahrEnd7),0,Param.SonstigRegelmBetragJaehrl7*(1+Param.SonstigRegelmSteig7)^($A54-Param.SonstigRegelmJahrBeginn7))</f>
        <v>0</v>
      </c>
      <c r="K54" s="40">
        <f aca="1">IF(OR($A54&lt;Param.SonstigRegelmJahrBeginn8,$A54&gt;Param.SonstigRegelmJahrEnd8),0,Param.SonstigRegelmBetragJaehrl8*(1+Param.SonstigRegelmSteig8)^($A54-Param.SonstigRegelmJahrBeginn8))</f>
        <v>0</v>
      </c>
      <c r="L54" s="40">
        <f aca="1">IF(OR($A54&lt;Param.SonstigRegelmJahrBeginn9,$A54&gt;Param.SonstigRegelmJahrEnd9),0,Param.SonstigRegelmBetragJaehrl9*(1+Param.SonstigRegelmSteig9)^($A54-Param.SonstigRegelmJahrBeginn9))</f>
        <v>0</v>
      </c>
      <c r="M54" s="40">
        <f aca="1">IF(OR($A54&lt;Param.SonstigRegelmJahrBeginn10,$A54&gt;Param.SonstigRegelmJahrEnd10),0,Param.SonstigRegelmBetragJaehrl10*(1+Param.SonstigRegelmSteig10)^($A54-Param.SonstigRegelmJahrBeginn10))</f>
        <v>0</v>
      </c>
      <c r="N54" s="10">
        <f>MAX(0,C54-SUM(D54:M54))</f>
        <v>80315.4534489475045</v>
      </c>
      <c r="O54" s="10">
        <f>IF(N54&lt;=0,SUM(D54:M54)-C54,0)</f>
        <v>0</v>
      </c>
      <c r="P54" s="10">
        <f>S54+AP54</f>
        <v>517542.500203332282</v>
      </c>
      <c r="Q54" s="11">
        <f>IF(P54&gt;0,S54/P54,0)</f>
        <v>0.843611562235551204</v>
      </c>
      <c r="R54" s="11">
        <f>IF(P54&gt;0,AP54/P54,0)</f>
        <v>0.156388437764449346</v>
      </c>
      <c r="S54" s="10">
        <f>AL53</f>
        <v>436604.837119825999</v>
      </c>
      <c r="T54" s="40">
        <f>AM53</f>
        <v>414053.469179366017</v>
      </c>
      <c r="U54" s="40">
        <f aca="1">IF(A54&lt;Param.FireStartjahr,Param.SparrateDepotMonatl*12*(1+Param.SparrateDynamikJaehrl)^($A54-Param.Startjahr),0)</f>
        <v>0</v>
      </c>
      <c r="V54" s="40">
        <f aca="1">IF(AND(Param.SonstigEinmaligKonto1="Depot",$A54=Param.SonstigEinmaligJahr1),Param.SonstigEinmaligBetrag1,0)</f>
        <v>0</v>
      </c>
      <c r="W54" s="40">
        <f aca="1">IF(AND(Param.SonstigEinmaligKonto2="Depot",$A54=Param.SonstigEinmaligJahr2),Param.SonstigEinmaligBetrag2,0)</f>
        <v>0</v>
      </c>
      <c r="X54" s="40">
        <f aca="1">IF(AND(Param.SonstigEinmaligKonto3="Depot",$A54=Param.SonstigEinmaligJahr3),Param.SonstigEinmaligBetrag3,0)</f>
        <v>0</v>
      </c>
      <c r="Y54" s="40">
        <f aca="1">IF(AND(Param.SonstigEinmaligKonto4="Depot",$A54=Param.SonstigEinmaligJahr4),Param.SonstigEinmaligBetrag4,0)</f>
        <v>0</v>
      </c>
      <c r="Z54" s="40">
        <f aca="1">IF(AND(Param.SonstigEinmaligKonto5="Depot",$A54=Param.SonstigEinmaligJahr5),Param.SonstigEinmaligBetrag5,0)</f>
        <v>0</v>
      </c>
      <c r="AA54" s="40">
        <f aca="1">IF(AND(Param.SonstigEinmaligKonto6="Depot",$A54=Param.SonstigEinmaligJahr6),Param.SonstigEinmaligBetrag6,0)</f>
        <v>0</v>
      </c>
      <c r="AB54" s="40">
        <f aca="1">IF(AND(Param.SonstigEinmaligKonto7="Depot",$A54=Param.SonstigEinmaligJahr7),Param.SonstigEinmaligBetrag7,0)</f>
        <v>0</v>
      </c>
      <c r="AC54" s="40">
        <f aca="1">IF(AND(Param.SonstigEinmaligKonto8="Depot",$A54=Param.SonstigEinmaligJahr8),Param.SonstigEinmaligBetrag8,0)</f>
        <v>0</v>
      </c>
      <c r="AD54" s="40">
        <f aca="1">IF(AND(Param.SonstigEinmaligKonto9="Depot",$A54=Param.SonstigEinmaligJahr9),Param.SonstigEinmaligBetrag9,0)</f>
        <v>0</v>
      </c>
      <c r="AE54" s="40">
        <f aca="1">IF(AND(Param.SonstigEinmaligKonto10="Depot",$A54=Param.SonstigEinmaligJahr10),Param.SonstigEinmaligBetrag10,0)</f>
        <v>0</v>
      </c>
      <c r="AF54" s="40">
        <f aca="1">Param.SparerPauschbetrag-BF54</f>
        <v>0</v>
      </c>
      <c r="AG54" s="40">
        <f aca="1">IF(AND(A54&gt;=Param.FireStartjahr,S54&gt;0),MIN(N54*Q54,S54),0)</f>
        <v>67755.0451557232736</v>
      </c>
      <c r="AH54" s="40">
        <f aca="1">IF(AG54&lt;=0,0,IF(S54&lt;=0,0,AG54/(1-MAX(0,((T54/S54)*(1-Param.Teilfreistellung)-MIN(AF54,AG54)/AG54)*Param.KapSt))))</f>
        <v>82136.1693813356833</v>
      </c>
      <c r="AI54" s="40">
        <f>AH54-AG54</f>
        <v>14381.1242256123951</v>
      </c>
      <c r="AJ54" s="40">
        <f>T54-AH54*(T54/S54)</f>
        <v>336159.769920801918</v>
      </c>
      <c r="AK54" s="40">
        <f>S54-AH54</f>
        <v>354468.667738490272</v>
      </c>
      <c r="AL54" s="40">
        <f>FV(AO54,12,-(U54/12),-AK54,0)</f>
        <v>375736.787802785751</v>
      </c>
      <c r="AM54" s="40">
        <f>AJ54+AL54-AK54-U54</f>
        <v>357427.88998509798</v>
      </c>
      <c r="AN54" s="5">
        <f>AM54/AL54</f>
        <v>0.951272011652748084</v>
      </c>
      <c r="AO54" s="5">
        <f aca="1">(1+IF(AND(A54&gt;=Param.DepotRenditeSpezBeginn1,A54&lt;=Param.DepotRenditeSpezEnde1),Param.DepotRenditeSpezProz1,IF(AND(A54&gt;=Param.DepotRenditeSpezBeginn2,A54&lt;=Param.DepotRenditeSpezEnde2),Param.DepotRenditeSpezProz2,IF(AND(A54&gt;=Param.DepotRenditeSpezBeginn3,A54&lt;=Param.DepotRenditeSpezEnde3),Param.DepotRenditeSpezProz3,IF(AND(A54&gt;=Param.DepotRenditeSpezBeginn4,A54&lt;=Param.DepotRenditeSpezEnde4),Param.DepotRenditeSpezProz4,IF(AND(A54&gt;=Param.DepotRenditeSpezBeginn5,A54&lt;=Param.DepotRenditeSpezEnde5),Param.DepotRenditeSpezProz5,Param.DepotRenditeDefault))))))^(1/12)-1</f>
        <v>0.00486755056533993979</v>
      </c>
      <c r="AP54" s="40">
        <f>BJ53</f>
        <v>80937.6630835062824</v>
      </c>
      <c r="AQ54" s="40">
        <f aca="1">IF(A54&lt;Param.FireStartjahr,Param.SparrateFestgeldMonatl*12*(1+Param.SparrateDynamikJaehrl)^($A54-Param.Startjahr),0)</f>
        <v>0</v>
      </c>
      <c r="AR54" s="40">
        <f>O54</f>
        <v>0</v>
      </c>
      <c r="AS54" s="40">
        <f aca="1">IF(AND(Param.SonstigEinmaligKonto1="Festgeld",$A54=Param.SonstigEinmaligJahr1),Param.SonstigEinmaligBetrag1,0)</f>
        <v>0</v>
      </c>
      <c r="AT54" s="40">
        <f aca="1">IF(AND(Param.SonstigEinmaligKonto2="Festgeld",$A54=Param.SonstigEinmaligJahr2),Param.SonstigEinmaligBetrag2,0)</f>
        <v>0</v>
      </c>
      <c r="AU54" s="40">
        <f aca="1">IF(AND(Param.SonstigEinmaligKonto3="Festgeld",$A54=Param.SonstigEinmaligJahr3),Param.SonstigEinmaligBetrag3,0)</f>
        <v>0</v>
      </c>
      <c r="AV54" s="40">
        <f aca="1">IF(AND(Param.SonstigEinmaligKonto4="Festgeld",$A54=Param.SonstigEinmaligJahr4),Param.SonstigEinmaligBetrag4,0)</f>
        <v>0</v>
      </c>
      <c r="AW54" s="40">
        <f aca="1">IF(AND(Param.SonstigEinmaligKonto5="Festgeld",$A54=Param.SonstigEinmaligJahr5),Param.SonstigEinmaligBetrag5,0)</f>
        <v>0</v>
      </c>
      <c r="AX54" s="40">
        <f aca="1">IF(AND(Param.SonstigEinmaligKonto6="Festgeld",$A54=Param.SonstigEinmaligJahr6),Param.SonstigEinmaligBetrag6,0)</f>
        <v>0</v>
      </c>
      <c r="AY54" s="40">
        <f aca="1">IF(AND(Param.SonstigEinmaligKonto7="Festgeld",$A54=Param.SonstigEinmaligJahr7),Param.SonstigEinmaligBetrag7,0)</f>
        <v>0</v>
      </c>
      <c r="AZ54" s="40">
        <f aca="1">IF(AND(Param.SonstigEinmaligKonto8="Festgeld",$A54=Param.SonstigEinmaligJahr8),Param.SonstigEinmaligBetrag8,0)</f>
        <v>0</v>
      </c>
      <c r="BA54" s="40">
        <f aca="1">IF(AND(Param.SonstigEinmaligKonto9="Festgeld",$A54=Param.SonstigEinmaligJahr9),Param.SonstigEinmaligBetrag9,0)</f>
        <v>0</v>
      </c>
      <c r="BB54" s="40">
        <f aca="1">IF(AND(Param.SonstigEinmaligKonto10="Festgeld",$A54=Param.SonstigEinmaligJahr10),Param.SonstigEinmaligBetrag10,0)</f>
        <v>0</v>
      </c>
      <c r="BC54" s="40">
        <f aca="1">IF(AND(A54&gt;=Param.FireStartjahr,AP54&gt;0),MIN(N54*R54,AP54),0)</f>
        <v>12560.4082932242272</v>
      </c>
      <c r="BD54" s="5">
        <f aca="1">Param.FestgeldZinssatz</f>
        <v>0.02</v>
      </c>
      <c r="BE54" s="40">
        <f>(AP54+AQ54-BC54)*BD54</f>
        <v>1367.54509580564195</v>
      </c>
      <c r="BF54" s="40">
        <f aca="1">IF(BE54&gt;Param.SparerPauschbetrag,Param.SparerPauschbetrag,BE54)</f>
        <v>1000</v>
      </c>
      <c r="BG54" s="40">
        <f>BE54-BF54</f>
        <v>367.545095805639903</v>
      </c>
      <c r="BH54" s="40">
        <f aca="1">BG54*Param.KapSt</f>
        <v>96.9400190187375443</v>
      </c>
      <c r="BI54" s="40">
        <f>BE54-BH54</f>
        <v>1270.60507678690237</v>
      </c>
      <c r="BJ54" s="63">
        <f>AP54+SUM(AQ54:BB54)-BC54+BI54</f>
        <v>69647.8598670689971</v>
      </c>
      <c r="BK54" s="40">
        <f>AL54+BJ54</f>
        <v>445384.647669854981</v>
      </c>
      <c r="BL54" s="40">
        <f aca="1">BK54/(1+Param.Inflationsrate)^(A54-Param.Startjahr)</f>
        <v>132820.722616239334</v>
      </c>
      <c r="BM54" s="52" t="str">
        <f>IF(BK54&lt;N54,A54,"")</f>
        <v/>
      </c>
      <c r="BN54" s="40">
        <f>AH54+BC54</f>
        <v>94696.5776745598996</v>
      </c>
      <c r="BO54" s="40">
        <f>SUM(AR54:BB54)</f>
        <v>0</v>
      </c>
      <c r="BP54" s="40">
        <f>BN54+(-1*BO54)</f>
        <v>94696.5776745598996</v>
      </c>
      <c r="BQ54" s="40">
        <f>AI54+BH54</f>
        <v>14478.0642446311376</v>
      </c>
      <c r="BR54" s="5">
        <f>IF(BK54&gt;0,BP54/BK54,0)</f>
        <v>0.212617516499478709</v>
      </c>
    </row>
    <row r="55" spans="1:70">
      <c r="A55">
        <f>A54+1</f>
        <v>2076</v>
      </c>
      <c r="B55">
        <f>B5+(51-1)</f>
        <v>80</v>
      </c>
      <c r="C55" s="10">
        <f aca="1">IF(A55&lt;Param.FireStartjahr,0,Param.EntnahmeBetragStart*(1+Param.Inflationsrate)^(A55-Param.Startjahr))</f>
        <v>103113.261591106202</v>
      </c>
      <c r="D55" s="40">
        <f aca="1">IF(OR($A55&lt;Param.SonstigRegelmJahrBeginn1,$A55&gt;Param.SonstigRegelmJahrEnd1),0,Param.SonstigRegelmBetragJaehrl1*(1+Param.SonstigRegelmSteig1)^(A55-Param.SonstigRegelmJahrBeginn1))</f>
        <v>20485.6790477992181</v>
      </c>
      <c r="E55" s="40">
        <f aca="1">IF(OR($A55&lt;Param.SonstigRegelmJahrBeginn2,$A55&gt;Param.SonstigRegelmJahrEnd2),0,Param.SonstigRegelmBetragJaehrl2*(1+Param.SonstigRegelmSteig2)^($A55-Param.SonstigRegelmJahrBeginn2))</f>
        <v>0</v>
      </c>
      <c r="F55" s="40">
        <f aca="1">IF(OR($A55&lt;Param.SonstigRegelmJahrBeginn3,$A55&gt;Param.SonstigRegelmJahrEnd3),0,Param.SonstigRegelmBetragJaehrl3*(1+Param.SonstigRegelmSteig3)^($A55-Param.SonstigRegelmJahrBeginn3))</f>
        <v>0</v>
      </c>
      <c r="G55" s="40">
        <f aca="1">IF(OR($A55&lt;Param.SonstigRegelmJahrBeginn4,$A55&gt;Param.SonstigRegelmJahrEnd4),0,Param.SonstigRegelmBetragJaehrl4*(1+Param.SonstigRegelmSteig4)^($A55-Param.SonstigRegelmJahrBeginn4))</f>
        <v>0</v>
      </c>
      <c r="H55" s="40">
        <f aca="1">IF(OR($A55&lt;Param.SonstigRegelmJahrBeginn5,$A55&gt;Param.SonstigRegelmJahrEnd5),0,Param.SonstigRegelmBetragJaehrl5*(1+Param.SonstigRegelmSteig5)^($A55-Param.SonstigRegelmJahrBeginn5))</f>
        <v>0</v>
      </c>
      <c r="I55" s="40">
        <f aca="1">IF(OR($A55&lt;Param.SonstigRegelmJahrBeginn6,$A55&gt;Param.SonstigRegelmJahrEnd6),0,Param.SonstigRegelmBetragJaehrl6*(1+Param.SonstigRegelmSteig6)^($A55-Param.SonstigRegelmJahrBeginn6))</f>
        <v>0</v>
      </c>
      <c r="J55" s="40">
        <f aca="1">IF(OR($A55&lt;Param.SonstigRegelmJahrBeginn7,$A55&gt;Param.SonstigRegelmJahrEnd7),0,Param.SonstigRegelmBetragJaehrl7*(1+Param.SonstigRegelmSteig7)^($A55-Param.SonstigRegelmJahrBeginn7))</f>
        <v>0</v>
      </c>
      <c r="K55" s="40">
        <f aca="1">IF(OR($A55&lt;Param.SonstigRegelmJahrBeginn8,$A55&gt;Param.SonstigRegelmJahrEnd8),0,Param.SonstigRegelmBetragJaehrl8*(1+Param.SonstigRegelmSteig8)^($A55-Param.SonstigRegelmJahrBeginn8))</f>
        <v>0</v>
      </c>
      <c r="L55" s="40">
        <f aca="1">IF(OR($A55&lt;Param.SonstigRegelmJahrBeginn9,$A55&gt;Param.SonstigRegelmJahrEnd9),0,Param.SonstigRegelmBetragJaehrl9*(1+Param.SonstigRegelmSteig9)^($A55-Param.SonstigRegelmJahrBeginn9))</f>
        <v>0</v>
      </c>
      <c r="M55" s="40">
        <f aca="1">IF(OR($A55&lt;Param.SonstigRegelmJahrBeginn10,$A55&gt;Param.SonstigRegelmJahrEnd10),0,Param.SonstigRegelmBetragJaehrl10*(1+Param.SonstigRegelmSteig10)^($A55-Param.SonstigRegelmJahrBeginn10))</f>
        <v>0</v>
      </c>
      <c r="N55" s="10">
        <f>MAX(0,C55-SUM(D55:M55))</f>
        <v>82627.5825433067948</v>
      </c>
      <c r="O55" s="10">
        <f>IF(N55&lt;=0,SUM(D55:M55)-C55,0)</f>
        <v>0</v>
      </c>
      <c r="P55" s="10">
        <f>S55+AP55</f>
        <v>445384.647669854981</v>
      </c>
      <c r="Q55" s="11">
        <f>IF(P55&gt;0,S55/P55,0)</f>
        <v>0.843623123896502136</v>
      </c>
      <c r="R55" s="11">
        <f>IF(P55&gt;0,AP55/P55,0)</f>
        <v>0.156376876103497953</v>
      </c>
      <c r="S55" s="10">
        <f>AL54</f>
        <v>375736.787802785751</v>
      </c>
      <c r="T55" s="40">
        <f>AM54</f>
        <v>357427.88998509798</v>
      </c>
      <c r="U55" s="40">
        <f aca="1">IF(A55&lt;Param.FireStartjahr,Param.SparrateDepotMonatl*12*(1+Param.SparrateDynamikJaehrl)^($A55-Param.Startjahr),0)</f>
        <v>0</v>
      </c>
      <c r="V55" s="40">
        <f aca="1">IF(AND(Param.SonstigEinmaligKonto1="Depot",$A55=Param.SonstigEinmaligJahr1),Param.SonstigEinmaligBetrag1,0)</f>
        <v>0</v>
      </c>
      <c r="W55" s="40">
        <f aca="1">IF(AND(Param.SonstigEinmaligKonto2="Depot",$A55=Param.SonstigEinmaligJahr2),Param.SonstigEinmaligBetrag2,0)</f>
        <v>0</v>
      </c>
      <c r="X55" s="40">
        <f aca="1">IF(AND(Param.SonstigEinmaligKonto3="Depot",$A55=Param.SonstigEinmaligJahr3),Param.SonstigEinmaligBetrag3,0)</f>
        <v>0</v>
      </c>
      <c r="Y55" s="40">
        <f aca="1">IF(AND(Param.SonstigEinmaligKonto4="Depot",$A55=Param.SonstigEinmaligJahr4),Param.SonstigEinmaligBetrag4,0)</f>
        <v>0</v>
      </c>
      <c r="Z55" s="40">
        <f aca="1">IF(AND(Param.SonstigEinmaligKonto5="Depot",$A55=Param.SonstigEinmaligJahr5),Param.SonstigEinmaligBetrag5,0)</f>
        <v>0</v>
      </c>
      <c r="AA55" s="40">
        <f aca="1">IF(AND(Param.SonstigEinmaligKonto6="Depot",$A55=Param.SonstigEinmaligJahr6),Param.SonstigEinmaligBetrag6,0)</f>
        <v>0</v>
      </c>
      <c r="AB55" s="40">
        <f aca="1">IF(AND(Param.SonstigEinmaligKonto7="Depot",$A55=Param.SonstigEinmaligJahr7),Param.SonstigEinmaligBetrag7,0)</f>
        <v>0</v>
      </c>
      <c r="AC55" s="40">
        <f aca="1">IF(AND(Param.SonstigEinmaligKonto8="Depot",$A55=Param.SonstigEinmaligJahr8),Param.SonstigEinmaligBetrag8,0)</f>
        <v>0</v>
      </c>
      <c r="AD55" s="40">
        <f aca="1">IF(AND(Param.SonstigEinmaligKonto9="Depot",$A55=Param.SonstigEinmaligJahr9),Param.SonstigEinmaligBetrag9,0)</f>
        <v>0</v>
      </c>
      <c r="AE55" s="40">
        <f aca="1">IF(AND(Param.SonstigEinmaligKonto10="Depot",$A55=Param.SonstigEinmaligJahr10),Param.SonstigEinmaligBetrag10,0)</f>
        <v>0</v>
      </c>
      <c r="AF55" s="40">
        <f aca="1">Param.SparerPauschbetrag-BF55</f>
        <v>0</v>
      </c>
      <c r="AG55" s="40">
        <f aca="1">IF(AND(A55&gt;=Param.FireStartjahr,S55&gt;0),MIN(N55*Q55,S55),0)</f>
        <v>69706.5393052005529</v>
      </c>
      <c r="AH55" s="40">
        <f aca="1">IF(AG55&lt;=0,0,IF(S55&lt;=0,0,AG55/(1-MAX(0,((T55/S55)*(1-Param.Teilfreistellung)-MIN(AF55,AG55)/AG55)*Param.KapSt))))</f>
        <v>84557.2018815980409</v>
      </c>
      <c r="AI55" s="40">
        <f>AH55-AG55</f>
        <v>14850.6625763975026</v>
      </c>
      <c r="AJ55" s="40">
        <f>T55-AH55*(T55/S55)</f>
        <v>276990.990451462567</v>
      </c>
      <c r="AK55" s="40">
        <f>S55-AH55</f>
        <v>291179.585921187885</v>
      </c>
      <c r="AL55" s="40">
        <f>FV(AO55,12,-(U55/12),-AK55,0)</f>
        <v>308650.361076447705</v>
      </c>
      <c r="AM55" s="40">
        <f>AJ55+AL55-AK55-U55</f>
        <v>294461.765606723027</v>
      </c>
      <c r="AN55" s="5">
        <f>AM55/AL55</f>
        <v>0.954030199672403256</v>
      </c>
      <c r="AO55" s="5">
        <f aca="1">(1+IF(AND(A55&gt;=Param.DepotRenditeSpezBeginn1,A55&lt;=Param.DepotRenditeSpezEnde1),Param.DepotRenditeSpezProz1,IF(AND(A55&gt;=Param.DepotRenditeSpezBeginn2,A55&lt;=Param.DepotRenditeSpezEnde2),Param.DepotRenditeSpezProz2,IF(AND(A55&gt;=Param.DepotRenditeSpezBeginn3,A55&lt;=Param.DepotRenditeSpezEnde3),Param.DepotRenditeSpezProz3,IF(AND(A55&gt;=Param.DepotRenditeSpezBeginn4,A55&lt;=Param.DepotRenditeSpezEnde4),Param.DepotRenditeSpezProz4,IF(AND(A55&gt;=Param.DepotRenditeSpezBeginn5,A55&lt;=Param.DepotRenditeSpezEnde5),Param.DepotRenditeSpezProz5,Param.DepotRenditeDefault))))))^(1/12)-1</f>
        <v>0.00486755056533993979</v>
      </c>
      <c r="AP55" s="40">
        <f>BJ54</f>
        <v>69647.8598670689971</v>
      </c>
      <c r="AQ55" s="40">
        <f aca="1">IF(A55&lt;Param.FireStartjahr,Param.SparrateFestgeldMonatl*12*(1+Param.SparrateDynamikJaehrl)^($A55-Param.Startjahr),0)</f>
        <v>0</v>
      </c>
      <c r="AR55" s="40">
        <f>O55</f>
        <v>0</v>
      </c>
      <c r="AS55" s="40">
        <f aca="1">IF(AND(Param.SonstigEinmaligKonto1="Festgeld",$A55=Param.SonstigEinmaligJahr1),Param.SonstigEinmaligBetrag1,0)</f>
        <v>0</v>
      </c>
      <c r="AT55" s="40">
        <f aca="1">IF(AND(Param.SonstigEinmaligKonto2="Festgeld",$A55=Param.SonstigEinmaligJahr2),Param.SonstigEinmaligBetrag2,0)</f>
        <v>0</v>
      </c>
      <c r="AU55" s="40">
        <f aca="1">IF(AND(Param.SonstigEinmaligKonto3="Festgeld",$A55=Param.SonstigEinmaligJahr3),Param.SonstigEinmaligBetrag3,0)</f>
        <v>0</v>
      </c>
      <c r="AV55" s="40">
        <f aca="1">IF(AND(Param.SonstigEinmaligKonto4="Festgeld",$A55=Param.SonstigEinmaligJahr4),Param.SonstigEinmaligBetrag4,0)</f>
        <v>0</v>
      </c>
      <c r="AW55" s="40">
        <f aca="1">IF(AND(Param.SonstigEinmaligKonto5="Festgeld",$A55=Param.SonstigEinmaligJahr5),Param.SonstigEinmaligBetrag5,0)</f>
        <v>0</v>
      </c>
      <c r="AX55" s="40">
        <f aca="1">IF(AND(Param.SonstigEinmaligKonto6="Festgeld",$A55=Param.SonstigEinmaligJahr6),Param.SonstigEinmaligBetrag6,0)</f>
        <v>0</v>
      </c>
      <c r="AY55" s="40">
        <f aca="1">IF(AND(Param.SonstigEinmaligKonto7="Festgeld",$A55=Param.SonstigEinmaligJahr7),Param.SonstigEinmaligBetrag7,0)</f>
        <v>0</v>
      </c>
      <c r="AZ55" s="40">
        <f aca="1">IF(AND(Param.SonstigEinmaligKonto8="Festgeld",$A55=Param.SonstigEinmaligJahr8),Param.SonstigEinmaligBetrag8,0)</f>
        <v>0</v>
      </c>
      <c r="BA55" s="40">
        <f aca="1">IF(AND(Param.SonstigEinmaligKonto9="Festgeld",$A55=Param.SonstigEinmaligJahr9),Param.SonstigEinmaligBetrag9,0)</f>
        <v>0</v>
      </c>
      <c r="BB55" s="40">
        <f aca="1">IF(AND(Param.SonstigEinmaligKonto10="Festgeld",$A55=Param.SonstigEinmaligJahr10),Param.SonstigEinmaligBetrag10,0)</f>
        <v>0</v>
      </c>
      <c r="BC55" s="40">
        <f aca="1">IF(AND(A55&gt;=Param.FireStartjahr,AP55&gt;0),MIN(N55*R55,AP55),0)</f>
        <v>12921.0432381062419</v>
      </c>
      <c r="BD55" s="5">
        <f aca="1">Param.FestgeldZinssatz</f>
        <v>0.02</v>
      </c>
      <c r="BE55" s="40">
        <f>(AP55+AQ55-BC55)*BD55</f>
        <v>1134.53633257925594</v>
      </c>
      <c r="BF55" s="40">
        <f aca="1">IF(BE55&gt;Param.SparerPauschbetrag,Param.SparerPauschbetrag,BE55)</f>
        <v>1000</v>
      </c>
      <c r="BG55" s="40">
        <f>BE55-BF55</f>
        <v>134.536332579260034</v>
      </c>
      <c r="BH55" s="40">
        <f aca="1">BG55*Param.KapSt</f>
        <v>35.4839577177798233</v>
      </c>
      <c r="BI55" s="40">
        <f>BE55-BH55</f>
        <v>1099.0523748614803</v>
      </c>
      <c r="BJ55" s="63">
        <f>AP55+SUM(AQ55:BB55)-BC55+BI55</f>
        <v>57825.8690038242785</v>
      </c>
      <c r="BK55" s="40">
        <f>AL55+BJ55</f>
        <v>366476.230080272304</v>
      </c>
      <c r="BL55" s="40">
        <f aca="1">BK55/(1+Param.Inflationsrate)^(A55-Param.Startjahr)</f>
        <v>106623.403554101591</v>
      </c>
      <c r="BM55" s="52" t="str">
        <f>IF(BK55&lt;N55,A55,"")</f>
        <v/>
      </c>
      <c r="BN55" s="40">
        <f>AH55+BC55</f>
        <v>97478.2451197042974</v>
      </c>
      <c r="BO55" s="40">
        <f>SUM(AR55:BB55)</f>
        <v>0</v>
      </c>
      <c r="BP55" s="40">
        <f>BN55+(-1*BO55)</f>
        <v>97478.2451197042974</v>
      </c>
      <c r="BQ55" s="40">
        <f>AI55+BH55</f>
        <v>14886.1465341152798</v>
      </c>
      <c r="BR55" s="5">
        <f>IF(BK55&gt;0,BP55/BK55,0)</f>
        <v>0.265987906223421122</v>
      </c>
    </row>
    <row r="56" spans="1:70">
      <c r="A56">
        <f>A55+1</f>
        <v>2077</v>
      </c>
      <c r="B56">
        <f>B5+(52-1)</f>
        <v>81</v>
      </c>
      <c r="C56" s="10">
        <f aca="1">IF(A56&lt;Param.FireStartjahr,0,Param.EntnahmeBetragStart*(1+Param.Inflationsrate)^(A56-Param.Startjahr))</f>
        <v>105691.093130883601</v>
      </c>
      <c r="D56" s="40">
        <f aca="1">IF(OR($A56&lt;Param.SonstigRegelmJahrBeginn1,$A56&gt;Param.SonstigRegelmJahrEnd1),0,Param.SonstigRegelmBetragJaehrl1*(1+Param.SonstigRegelmSteig1)^(A56-Param.SonstigRegelmJahrBeginn1))</f>
        <v>20690.5358382771592</v>
      </c>
      <c r="E56" s="40">
        <f aca="1">IF(OR($A56&lt;Param.SonstigRegelmJahrBeginn2,$A56&gt;Param.SonstigRegelmJahrEnd2),0,Param.SonstigRegelmBetragJaehrl2*(1+Param.SonstigRegelmSteig2)^($A56-Param.SonstigRegelmJahrBeginn2))</f>
        <v>0</v>
      </c>
      <c r="F56" s="40">
        <f aca="1">IF(OR($A56&lt;Param.SonstigRegelmJahrBeginn3,$A56&gt;Param.SonstigRegelmJahrEnd3),0,Param.SonstigRegelmBetragJaehrl3*(1+Param.SonstigRegelmSteig3)^($A56-Param.SonstigRegelmJahrBeginn3))</f>
        <v>0</v>
      </c>
      <c r="G56" s="40">
        <f aca="1">IF(OR($A56&lt;Param.SonstigRegelmJahrBeginn4,$A56&gt;Param.SonstigRegelmJahrEnd4),0,Param.SonstigRegelmBetragJaehrl4*(1+Param.SonstigRegelmSteig4)^($A56-Param.SonstigRegelmJahrBeginn4))</f>
        <v>0</v>
      </c>
      <c r="H56" s="40">
        <f aca="1">IF(OR($A56&lt;Param.SonstigRegelmJahrBeginn5,$A56&gt;Param.SonstigRegelmJahrEnd5),0,Param.SonstigRegelmBetragJaehrl5*(1+Param.SonstigRegelmSteig5)^($A56-Param.SonstigRegelmJahrBeginn5))</f>
        <v>0</v>
      </c>
      <c r="I56" s="40">
        <f aca="1">IF(OR($A56&lt;Param.SonstigRegelmJahrBeginn6,$A56&gt;Param.SonstigRegelmJahrEnd6),0,Param.SonstigRegelmBetragJaehrl6*(1+Param.SonstigRegelmSteig6)^($A56-Param.SonstigRegelmJahrBeginn6))</f>
        <v>0</v>
      </c>
      <c r="J56" s="40">
        <f aca="1">IF(OR($A56&lt;Param.SonstigRegelmJahrBeginn7,$A56&gt;Param.SonstigRegelmJahrEnd7),0,Param.SonstigRegelmBetragJaehrl7*(1+Param.SonstigRegelmSteig7)^($A56-Param.SonstigRegelmJahrBeginn7))</f>
        <v>0</v>
      </c>
      <c r="K56" s="40">
        <f aca="1">IF(OR($A56&lt;Param.SonstigRegelmJahrBeginn8,$A56&gt;Param.SonstigRegelmJahrEnd8),0,Param.SonstigRegelmBetragJaehrl8*(1+Param.SonstigRegelmSteig8)^($A56-Param.SonstigRegelmJahrBeginn8))</f>
        <v>0</v>
      </c>
      <c r="L56" s="40">
        <f aca="1">IF(OR($A56&lt;Param.SonstigRegelmJahrBeginn9,$A56&gt;Param.SonstigRegelmJahrEnd9),0,Param.SonstigRegelmBetragJaehrl9*(1+Param.SonstigRegelmSteig9)^($A56-Param.SonstigRegelmJahrBeginn9))</f>
        <v>0</v>
      </c>
      <c r="M56" s="40">
        <f aca="1">IF(OR($A56&lt;Param.SonstigRegelmJahrBeginn10,$A56&gt;Param.SonstigRegelmJahrEnd10),0,Param.SonstigRegelmBetragJaehrl10*(1+Param.SonstigRegelmSteig10)^($A56-Param.SonstigRegelmJahrBeginn10))</f>
        <v>0</v>
      </c>
      <c r="N56" s="10">
        <f>MAX(0,C56-SUM(D56:M56))</f>
        <v>85000.557292606798</v>
      </c>
      <c r="O56" s="10">
        <f>IF(N56&lt;=0,SUM(D56:M56)-C56,0)</f>
        <v>0</v>
      </c>
      <c r="P56" s="10">
        <f>S56+AP56</f>
        <v>366476.230080272304</v>
      </c>
      <c r="Q56" s="11">
        <f>IF(P56&gt;0,S56/P56,0)</f>
        <v>0.842211133335556283</v>
      </c>
      <c r="R56" s="11">
        <f>IF(P56&gt;0,AP56/P56,0)</f>
        <v>0.157788866664444445</v>
      </c>
      <c r="S56" s="10">
        <f>AL55</f>
        <v>308650.361076447705</v>
      </c>
      <c r="T56" s="40">
        <f>AM55</f>
        <v>294461.765606723027</v>
      </c>
      <c r="U56" s="40">
        <f aca="1">IF(A56&lt;Param.FireStartjahr,Param.SparrateDepotMonatl*12*(1+Param.SparrateDynamikJaehrl)^($A56-Param.Startjahr),0)</f>
        <v>0</v>
      </c>
      <c r="V56" s="40">
        <f aca="1">IF(AND(Param.SonstigEinmaligKonto1="Depot",$A56=Param.SonstigEinmaligJahr1),Param.SonstigEinmaligBetrag1,0)</f>
        <v>0</v>
      </c>
      <c r="W56" s="40">
        <f aca="1">IF(AND(Param.SonstigEinmaligKonto2="Depot",$A56=Param.SonstigEinmaligJahr2),Param.SonstigEinmaligBetrag2,0)</f>
        <v>0</v>
      </c>
      <c r="X56" s="40">
        <f aca="1">IF(AND(Param.SonstigEinmaligKonto3="Depot",$A56=Param.SonstigEinmaligJahr3),Param.SonstigEinmaligBetrag3,0)</f>
        <v>0</v>
      </c>
      <c r="Y56" s="40">
        <f aca="1">IF(AND(Param.SonstigEinmaligKonto4="Depot",$A56=Param.SonstigEinmaligJahr4),Param.SonstigEinmaligBetrag4,0)</f>
        <v>0</v>
      </c>
      <c r="Z56" s="40">
        <f aca="1">IF(AND(Param.SonstigEinmaligKonto5="Depot",$A56=Param.SonstigEinmaligJahr5),Param.SonstigEinmaligBetrag5,0)</f>
        <v>0</v>
      </c>
      <c r="AA56" s="40">
        <f aca="1">IF(AND(Param.SonstigEinmaligKonto6="Depot",$A56=Param.SonstigEinmaligJahr6),Param.SonstigEinmaligBetrag6,0)</f>
        <v>0</v>
      </c>
      <c r="AB56" s="40">
        <f aca="1">IF(AND(Param.SonstigEinmaligKonto7="Depot",$A56=Param.SonstigEinmaligJahr7),Param.SonstigEinmaligBetrag7,0)</f>
        <v>0</v>
      </c>
      <c r="AC56" s="40">
        <f aca="1">IF(AND(Param.SonstigEinmaligKonto8="Depot",$A56=Param.SonstigEinmaligJahr8),Param.SonstigEinmaligBetrag8,0)</f>
        <v>0</v>
      </c>
      <c r="AD56" s="40">
        <f aca="1">IF(AND(Param.SonstigEinmaligKonto9="Depot",$A56=Param.SonstigEinmaligJahr9),Param.SonstigEinmaligBetrag9,0)</f>
        <v>0</v>
      </c>
      <c r="AE56" s="40">
        <f aca="1">IF(AND(Param.SonstigEinmaligKonto10="Depot",$A56=Param.SonstigEinmaligJahr10),Param.SonstigEinmaligBetrag10,0)</f>
        <v>0</v>
      </c>
      <c r="AF56" s="40">
        <f aca="1">Param.SparerPauschbetrag-BF56</f>
        <v>111.725451944446036</v>
      </c>
      <c r="AG56" s="40">
        <f aca="1">IF(AND(A56&gt;=Param.FireStartjahr,S56&gt;0),MIN(N56*Q56,S56),0)</f>
        <v>71588.4156915602216</v>
      </c>
      <c r="AH56" s="40">
        <f aca="1">IF(AG56&lt;=0,0,IF(S56&lt;=0,0,AG56/(1-MAX(0,((T56/S56)*(1-Param.Teilfreistellung)-MIN(AF56,AG56)/AG56)*Param.KapSt))))</f>
        <v>86850.2865640494565</v>
      </c>
      <c r="AI56" s="40">
        <f>AH56-AG56</f>
        <v>15261.8708724892931</v>
      </c>
      <c r="AJ56" s="40">
        <f>T56-AH56*(T56/S56)</f>
        <v>211603.969374417444</v>
      </c>
      <c r="AK56" s="40">
        <f>S56-AH56</f>
        <v>221800.074512398511</v>
      </c>
      <c r="AL56" s="40">
        <f>FV(AO56,12,-(U56/12),-AK56,0)</f>
        <v>235108.078983133717</v>
      </c>
      <c r="AM56" s="40">
        <f>AJ56+AL56-AK56-U56</f>
        <v>224911.97384515201</v>
      </c>
      <c r="AN56" s="5">
        <f>AM56/AL56</f>
        <v>0.956632263841884267</v>
      </c>
      <c r="AO56" s="5">
        <f aca="1">(1+IF(AND(A56&gt;=Param.DepotRenditeSpezBeginn1,A56&lt;=Param.DepotRenditeSpezEnde1),Param.DepotRenditeSpezProz1,IF(AND(A56&gt;=Param.DepotRenditeSpezBeginn2,A56&lt;=Param.DepotRenditeSpezEnde2),Param.DepotRenditeSpezProz2,IF(AND(A56&gt;=Param.DepotRenditeSpezBeginn3,A56&lt;=Param.DepotRenditeSpezEnde3),Param.DepotRenditeSpezProz3,IF(AND(A56&gt;=Param.DepotRenditeSpezBeginn4,A56&lt;=Param.DepotRenditeSpezEnde4),Param.DepotRenditeSpezProz4,IF(AND(A56&gt;=Param.DepotRenditeSpezBeginn5,A56&lt;=Param.DepotRenditeSpezEnde5),Param.DepotRenditeSpezProz5,Param.DepotRenditeDefault))))))^(1/12)-1</f>
        <v>0.00486755056533993979</v>
      </c>
      <c r="AP56" s="40">
        <f>BJ55</f>
        <v>57825.8690038242785</v>
      </c>
      <c r="AQ56" s="40">
        <f aca="1">IF(A56&lt;Param.FireStartjahr,Param.SparrateFestgeldMonatl*12*(1+Param.SparrateDynamikJaehrl)^($A56-Param.Startjahr),0)</f>
        <v>0</v>
      </c>
      <c r="AR56" s="40">
        <f>O56</f>
        <v>0</v>
      </c>
      <c r="AS56" s="40">
        <f aca="1">IF(AND(Param.SonstigEinmaligKonto1="Festgeld",$A56=Param.SonstigEinmaligJahr1),Param.SonstigEinmaligBetrag1,0)</f>
        <v>0</v>
      </c>
      <c r="AT56" s="40">
        <f aca="1">IF(AND(Param.SonstigEinmaligKonto2="Festgeld",$A56=Param.SonstigEinmaligJahr2),Param.SonstigEinmaligBetrag2,0)</f>
        <v>0</v>
      </c>
      <c r="AU56" s="40">
        <f aca="1">IF(AND(Param.SonstigEinmaligKonto3="Festgeld",$A56=Param.SonstigEinmaligJahr3),Param.SonstigEinmaligBetrag3,0)</f>
        <v>0</v>
      </c>
      <c r="AV56" s="40">
        <f aca="1">IF(AND(Param.SonstigEinmaligKonto4="Festgeld",$A56=Param.SonstigEinmaligJahr4),Param.SonstigEinmaligBetrag4,0)</f>
        <v>0</v>
      </c>
      <c r="AW56" s="40">
        <f aca="1">IF(AND(Param.SonstigEinmaligKonto5="Festgeld",$A56=Param.SonstigEinmaligJahr5),Param.SonstigEinmaligBetrag5,0)</f>
        <v>0</v>
      </c>
      <c r="AX56" s="40">
        <f aca="1">IF(AND(Param.SonstigEinmaligKonto6="Festgeld",$A56=Param.SonstigEinmaligJahr6),Param.SonstigEinmaligBetrag6,0)</f>
        <v>0</v>
      </c>
      <c r="AY56" s="40">
        <f aca="1">IF(AND(Param.SonstigEinmaligKonto7="Festgeld",$A56=Param.SonstigEinmaligJahr7),Param.SonstigEinmaligBetrag7,0)</f>
        <v>0</v>
      </c>
      <c r="AZ56" s="40">
        <f aca="1">IF(AND(Param.SonstigEinmaligKonto8="Festgeld",$A56=Param.SonstigEinmaligJahr8),Param.SonstigEinmaligBetrag8,0)</f>
        <v>0</v>
      </c>
      <c r="BA56" s="40">
        <f aca="1">IF(AND(Param.SonstigEinmaligKonto9="Festgeld",$A56=Param.SonstigEinmaligJahr9),Param.SonstigEinmaligBetrag9,0)</f>
        <v>0</v>
      </c>
      <c r="BB56" s="40">
        <f aca="1">IF(AND(Param.SonstigEinmaligKonto10="Festgeld",$A56=Param.SonstigEinmaligJahr10),Param.SonstigEinmaligBetrag10,0)</f>
        <v>0</v>
      </c>
      <c r="BC56" s="40">
        <f aca="1">IF(AND(A56&gt;=Param.FireStartjahr,AP56&gt;0),MIN(N56*R56,AP56),0)</f>
        <v>13412.1416010465673</v>
      </c>
      <c r="BD56" s="5">
        <f aca="1">Param.FestgeldZinssatz</f>
        <v>0.02</v>
      </c>
      <c r="BE56" s="40">
        <f>(AP56+AQ56-BC56)*BD56</f>
        <v>888.274548055554078</v>
      </c>
      <c r="BF56" s="40">
        <f aca="1">IF(BE56&gt;Param.SparerPauschbetrag,Param.SparerPauschbetrag,BE56)</f>
        <v>888.274548055554078</v>
      </c>
      <c r="BG56" s="40">
        <f>BE56-BF56</f>
        <v>0</v>
      </c>
      <c r="BH56" s="40">
        <f aca="1">BG56*Param.KapSt</f>
        <v>0</v>
      </c>
      <c r="BI56" s="40">
        <f>BE56-BH56</f>
        <v>888.274548055553964</v>
      </c>
      <c r="BJ56" s="63">
        <f>AP56+SUM(AQ56:BB56)-BC56+BI56</f>
        <v>45302.0019508332553</v>
      </c>
      <c r="BK56" s="40">
        <f>AL56+BJ56</f>
        <v>280410.080933967314</v>
      </c>
      <c r="BL56" s="40">
        <f aca="1">BK56/(1+Param.Inflationsrate)^(A56-Param.Startjahr)</f>
        <v>79593.2956961808814</v>
      </c>
      <c r="BM56" s="52" t="str">
        <f>IF(BK56&lt;N56,A56,"")</f>
        <v/>
      </c>
      <c r="BN56" s="40">
        <f>AH56+BC56</f>
        <v>100262.428165096106</v>
      </c>
      <c r="BO56" s="40">
        <f>SUM(AR56:BB56)</f>
        <v>0</v>
      </c>
      <c r="BP56" s="40">
        <f>BN56+(-1*BO56)</f>
        <v>100262.428165096004</v>
      </c>
      <c r="BQ56" s="40">
        <f>AI56+BH56</f>
        <v>15261.8708724893004</v>
      </c>
      <c r="BR56" s="5">
        <f>IF(BK56&gt;0,BP56/BK56,0)</f>
        <v>0.357556432461879004</v>
      </c>
    </row>
    <row r="57" spans="1:70">
      <c r="A57">
        <f>A56+1</f>
        <v>2078</v>
      </c>
      <c r="B57">
        <f>B5+(53-1)</f>
        <v>82</v>
      </c>
      <c r="C57" s="10">
        <f aca="1">IF(A57&lt;Param.FireStartjahr,0,Param.EntnahmeBetragStart*(1+Param.Inflationsrate)^(A57-Param.Startjahr))</f>
        <v>108333.370459155893</v>
      </c>
      <c r="D57" s="40">
        <f aca="1">IF(OR($A57&lt;Param.SonstigRegelmJahrBeginn1,$A57&gt;Param.SonstigRegelmJahrEnd1),0,Param.SonstigRegelmBetragJaehrl1*(1+Param.SonstigRegelmSteig1)^(A57-Param.SonstigRegelmJahrBeginn1))</f>
        <v>20897.4411966599982</v>
      </c>
      <c r="E57" s="40">
        <f aca="1">IF(OR($A57&lt;Param.SonstigRegelmJahrBeginn2,$A57&gt;Param.SonstigRegelmJahrEnd2),0,Param.SonstigRegelmBetragJaehrl2*(1+Param.SonstigRegelmSteig2)^($A57-Param.SonstigRegelmJahrBeginn2))</f>
        <v>0</v>
      </c>
      <c r="F57" s="40">
        <f aca="1">IF(OR($A57&lt;Param.SonstigRegelmJahrBeginn3,$A57&gt;Param.SonstigRegelmJahrEnd3),0,Param.SonstigRegelmBetragJaehrl3*(1+Param.SonstigRegelmSteig3)^($A57-Param.SonstigRegelmJahrBeginn3))</f>
        <v>0</v>
      </c>
      <c r="G57" s="40">
        <f aca="1">IF(OR($A57&lt;Param.SonstigRegelmJahrBeginn4,$A57&gt;Param.SonstigRegelmJahrEnd4),0,Param.SonstigRegelmBetragJaehrl4*(1+Param.SonstigRegelmSteig4)^($A57-Param.SonstigRegelmJahrBeginn4))</f>
        <v>0</v>
      </c>
      <c r="H57" s="40">
        <f aca="1">IF(OR($A57&lt;Param.SonstigRegelmJahrBeginn5,$A57&gt;Param.SonstigRegelmJahrEnd5),0,Param.SonstigRegelmBetragJaehrl5*(1+Param.SonstigRegelmSteig5)^($A57-Param.SonstigRegelmJahrBeginn5))</f>
        <v>0</v>
      </c>
      <c r="I57" s="40">
        <f aca="1">IF(OR($A57&lt;Param.SonstigRegelmJahrBeginn6,$A57&gt;Param.SonstigRegelmJahrEnd6),0,Param.SonstigRegelmBetragJaehrl6*(1+Param.SonstigRegelmSteig6)^($A57-Param.SonstigRegelmJahrBeginn6))</f>
        <v>0</v>
      </c>
      <c r="J57" s="40">
        <f aca="1">IF(OR($A57&lt;Param.SonstigRegelmJahrBeginn7,$A57&gt;Param.SonstigRegelmJahrEnd7),0,Param.SonstigRegelmBetragJaehrl7*(1+Param.SonstigRegelmSteig7)^($A57-Param.SonstigRegelmJahrBeginn7))</f>
        <v>0</v>
      </c>
      <c r="K57" s="40">
        <f aca="1">IF(OR($A57&lt;Param.SonstigRegelmJahrBeginn8,$A57&gt;Param.SonstigRegelmJahrEnd8),0,Param.SonstigRegelmBetragJaehrl8*(1+Param.SonstigRegelmSteig8)^($A57-Param.SonstigRegelmJahrBeginn8))</f>
        <v>0</v>
      </c>
      <c r="L57" s="40">
        <f aca="1">IF(OR($A57&lt;Param.SonstigRegelmJahrBeginn9,$A57&gt;Param.SonstigRegelmJahrEnd9),0,Param.SonstigRegelmBetragJaehrl9*(1+Param.SonstigRegelmSteig9)^($A57-Param.SonstigRegelmJahrBeginn9))</f>
        <v>0</v>
      </c>
      <c r="M57" s="40">
        <f aca="1">IF(OR($A57&lt;Param.SonstigRegelmJahrBeginn10,$A57&gt;Param.SonstigRegelmJahrEnd10),0,Param.SonstigRegelmBetragJaehrl10*(1+Param.SonstigRegelmSteig10)^($A57-Param.SonstigRegelmJahrBeginn10))</f>
        <v>0</v>
      </c>
      <c r="N57" s="10">
        <f>MAX(0,C57-SUM(D57:M57))</f>
        <v>87435.9292624959926</v>
      </c>
      <c r="O57" s="10">
        <f>IF(N57&lt;=0,SUM(D57:M57)-C57,0)</f>
        <v>0</v>
      </c>
      <c r="P57" s="10">
        <f>S57+AP57</f>
        <v>280410.080933967314</v>
      </c>
      <c r="Q57" s="11">
        <f>IF(P57&gt;0,S57/P57,0)</f>
        <v>0.838443747100871661</v>
      </c>
      <c r="R57" s="11">
        <f>IF(P57&gt;0,AP57/P57,0)</f>
        <v>0.161556252899129333</v>
      </c>
      <c r="S57" s="10">
        <f>AL56</f>
        <v>235108.078983133717</v>
      </c>
      <c r="T57" s="40">
        <f>AM56</f>
        <v>224911.97384515201</v>
      </c>
      <c r="U57" s="40">
        <f aca="1">IF(A57&lt;Param.FireStartjahr,Param.SparrateDepotMonatl*12*(1+Param.SparrateDynamikJaehrl)^($A57-Param.Startjahr),0)</f>
        <v>0</v>
      </c>
      <c r="V57" s="40">
        <f aca="1">IF(AND(Param.SonstigEinmaligKonto1="Depot",$A57=Param.SonstigEinmaligJahr1),Param.SonstigEinmaligBetrag1,0)</f>
        <v>0</v>
      </c>
      <c r="W57" s="40">
        <f aca="1">IF(AND(Param.SonstigEinmaligKonto2="Depot",$A57=Param.SonstigEinmaligJahr2),Param.SonstigEinmaligBetrag2,0)</f>
        <v>0</v>
      </c>
      <c r="X57" s="40">
        <f aca="1">IF(AND(Param.SonstigEinmaligKonto3="Depot",$A57=Param.SonstigEinmaligJahr3),Param.SonstigEinmaligBetrag3,0)</f>
        <v>0</v>
      </c>
      <c r="Y57" s="40">
        <f aca="1">IF(AND(Param.SonstigEinmaligKonto4="Depot",$A57=Param.SonstigEinmaligJahr4),Param.SonstigEinmaligBetrag4,0)</f>
        <v>0</v>
      </c>
      <c r="Z57" s="40">
        <f aca="1">IF(AND(Param.SonstigEinmaligKonto5="Depot",$A57=Param.SonstigEinmaligJahr5),Param.SonstigEinmaligBetrag5,0)</f>
        <v>0</v>
      </c>
      <c r="AA57" s="40">
        <f aca="1">IF(AND(Param.SonstigEinmaligKonto6="Depot",$A57=Param.SonstigEinmaligJahr6),Param.SonstigEinmaligBetrag6,0)</f>
        <v>0</v>
      </c>
      <c r="AB57" s="40">
        <f aca="1">IF(AND(Param.SonstigEinmaligKonto7="Depot",$A57=Param.SonstigEinmaligJahr7),Param.SonstigEinmaligBetrag7,0)</f>
        <v>0</v>
      </c>
      <c r="AC57" s="40">
        <f aca="1">IF(AND(Param.SonstigEinmaligKonto8="Depot",$A57=Param.SonstigEinmaligJahr8),Param.SonstigEinmaligBetrag8,0)</f>
        <v>0</v>
      </c>
      <c r="AD57" s="40">
        <f aca="1">IF(AND(Param.SonstigEinmaligKonto9="Depot",$A57=Param.SonstigEinmaligJahr9),Param.SonstigEinmaligBetrag9,0)</f>
        <v>0</v>
      </c>
      <c r="AE57" s="40">
        <f aca="1">IF(AND(Param.SonstigEinmaligKonto10="Depot",$A57=Param.SonstigEinmaligJahr10),Param.SonstigEinmaligBetrag10,0)</f>
        <v>0</v>
      </c>
      <c r="AF57" s="40">
        <f aca="1">Param.SparerPauschbetrag-BF57</f>
        <v>376.476382991378046</v>
      </c>
      <c r="AG57" s="40">
        <f aca="1">IF(AND(A57&gt;=Param.FireStartjahr,S57&gt;0),MIN(N57*Q57,S57),0)</f>
        <v>73310.1081620939367</v>
      </c>
      <c r="AH57" s="40">
        <f aca="1">IF(AG57&lt;=0,0,IF(S57&lt;=0,0,AG57/(1-MAX(0,((T57/S57)*(1-Param.Teilfreistellung)-MIN(AF57,AG57)/AG57)*Param.KapSt))))</f>
        <v>88889.157045396365</v>
      </c>
      <c r="AI57" s="40">
        <f>AH57-AG57</f>
        <v>15579.0488833023992</v>
      </c>
      <c r="AJ57" s="40">
        <f>T57-AH57*(T57/S57)</f>
        <v>139877.738309817709</v>
      </c>
      <c r="AK57" s="40">
        <f>S57-AH57</f>
        <v>146218.921937737614</v>
      </c>
      <c r="AL57" s="40">
        <f>FV(AO57,12,-(U57/12),-AK57,0)</f>
        <v>154992.057253996143</v>
      </c>
      <c r="AM57" s="40">
        <f>AJ57+AL57-AK57-U57</f>
        <v>148650.873626076005</v>
      </c>
      <c r="AN57" s="5">
        <f>AM57/AL57</f>
        <v>0.959087041360266213</v>
      </c>
      <c r="AO57" s="5">
        <f aca="1">(1+IF(AND(A57&gt;=Param.DepotRenditeSpezBeginn1,A57&lt;=Param.DepotRenditeSpezEnde1),Param.DepotRenditeSpezProz1,IF(AND(A57&gt;=Param.DepotRenditeSpezBeginn2,A57&lt;=Param.DepotRenditeSpezEnde2),Param.DepotRenditeSpezProz2,IF(AND(A57&gt;=Param.DepotRenditeSpezBeginn3,A57&lt;=Param.DepotRenditeSpezEnde3),Param.DepotRenditeSpezProz3,IF(AND(A57&gt;=Param.DepotRenditeSpezBeginn4,A57&lt;=Param.DepotRenditeSpezEnde4),Param.DepotRenditeSpezProz4,IF(AND(A57&gt;=Param.DepotRenditeSpezBeginn5,A57&lt;=Param.DepotRenditeSpezEnde5),Param.DepotRenditeSpezProz5,Param.DepotRenditeDefault))))))^(1/12)-1</f>
        <v>0.00486755056533993979</v>
      </c>
      <c r="AP57" s="40">
        <f>BJ56</f>
        <v>45302.0019508332553</v>
      </c>
      <c r="AQ57" s="40">
        <f aca="1">IF(A57&lt;Param.FireStartjahr,Param.SparrateFestgeldMonatl*12*(1+Param.SparrateDynamikJaehrl)^($A57-Param.Startjahr),0)</f>
        <v>0</v>
      </c>
      <c r="AR57" s="40">
        <f>O57</f>
        <v>0</v>
      </c>
      <c r="AS57" s="40">
        <f aca="1">IF(AND(Param.SonstigEinmaligKonto1="Festgeld",$A57=Param.SonstigEinmaligJahr1),Param.SonstigEinmaligBetrag1,0)</f>
        <v>0</v>
      </c>
      <c r="AT57" s="40">
        <f aca="1">IF(AND(Param.SonstigEinmaligKonto2="Festgeld",$A57=Param.SonstigEinmaligJahr2),Param.SonstigEinmaligBetrag2,0)</f>
        <v>0</v>
      </c>
      <c r="AU57" s="40">
        <f aca="1">IF(AND(Param.SonstigEinmaligKonto3="Festgeld",$A57=Param.SonstigEinmaligJahr3),Param.SonstigEinmaligBetrag3,0)</f>
        <v>0</v>
      </c>
      <c r="AV57" s="40">
        <f aca="1">IF(AND(Param.SonstigEinmaligKonto4="Festgeld",$A57=Param.SonstigEinmaligJahr4),Param.SonstigEinmaligBetrag4,0)</f>
        <v>0</v>
      </c>
      <c r="AW57" s="40">
        <f aca="1">IF(AND(Param.SonstigEinmaligKonto5="Festgeld",$A57=Param.SonstigEinmaligJahr5),Param.SonstigEinmaligBetrag5,0)</f>
        <v>0</v>
      </c>
      <c r="AX57" s="40">
        <f aca="1">IF(AND(Param.SonstigEinmaligKonto6="Festgeld",$A57=Param.SonstigEinmaligJahr6),Param.SonstigEinmaligBetrag6,0)</f>
        <v>0</v>
      </c>
      <c r="AY57" s="40">
        <f aca="1">IF(AND(Param.SonstigEinmaligKonto7="Festgeld",$A57=Param.SonstigEinmaligJahr7),Param.SonstigEinmaligBetrag7,0)</f>
        <v>0</v>
      </c>
      <c r="AZ57" s="40">
        <f aca="1">IF(AND(Param.SonstigEinmaligKonto8="Festgeld",$A57=Param.SonstigEinmaligJahr8),Param.SonstigEinmaligBetrag8,0)</f>
        <v>0</v>
      </c>
      <c r="BA57" s="40">
        <f aca="1">IF(AND(Param.SonstigEinmaligKonto9="Festgeld",$A57=Param.SonstigEinmaligJahr9),Param.SonstigEinmaligBetrag9,0)</f>
        <v>0</v>
      </c>
      <c r="BB57" s="40">
        <f aca="1">IF(AND(Param.SonstigEinmaligKonto10="Festgeld",$A57=Param.SonstigEinmaligJahr10),Param.SonstigEinmaligBetrag10,0)</f>
        <v>0</v>
      </c>
      <c r="BC57" s="40">
        <f aca="1">IF(AND(A57&gt;=Param.FireStartjahr,AP57&gt;0),MIN(N57*R57,AP57),0)</f>
        <v>14125.8211004021596</v>
      </c>
      <c r="BD57" s="5">
        <f aca="1">Param.FestgeldZinssatz</f>
        <v>0.02</v>
      </c>
      <c r="BE57" s="40">
        <f>(AP57+AQ57-BC57)*BD57</f>
        <v>623.523617008622068</v>
      </c>
      <c r="BF57" s="40">
        <f aca="1">IF(BE57&gt;Param.SparerPauschbetrag,Param.SparerPauschbetrag,BE57)</f>
        <v>623.523617008622068</v>
      </c>
      <c r="BG57" s="40">
        <f>BE57-BF57</f>
        <v>0</v>
      </c>
      <c r="BH57" s="40">
        <f aca="1">BG57*Param.KapSt</f>
        <v>0</v>
      </c>
      <c r="BI57" s="40">
        <f>BE57-BH57</f>
        <v>623.523617008621954</v>
      </c>
      <c r="BJ57" s="63">
        <f>AP57+SUM(AQ57:BB57)-BC57+BI57</f>
        <v>31799.7044674397221</v>
      </c>
      <c r="BK57" s="40">
        <f>AL57+BJ57</f>
        <v>186791.761721435701</v>
      </c>
      <c r="BL57" s="40">
        <f aca="1">BK57/(1+Param.Inflationsrate)^(A57-Param.Startjahr)</f>
        <v>51726.931672967934</v>
      </c>
      <c r="BM57" s="52" t="str">
        <f>IF(BK57&lt;N57,A57,"")</f>
        <v/>
      </c>
      <c r="BN57" s="40">
        <f>AH57+BC57</f>
        <v>103014.978145798596</v>
      </c>
      <c r="BO57" s="40">
        <f>SUM(AR57:BB57)</f>
        <v>0</v>
      </c>
      <c r="BP57" s="40">
        <f>BN57+(-1*BO57)</f>
        <v>103014.978145799003</v>
      </c>
      <c r="BQ57" s="40">
        <f>AI57+BH57</f>
        <v>15579.0488833023992</v>
      </c>
      <c r="BR57" s="5">
        <f>IF(BK57&gt;0,BP57/BK57,0)</f>
        <v>0.551496367914908614</v>
      </c>
    </row>
    <row r="58" spans="1:70">
      <c r="A58">
        <f>A57+1</f>
        <v>2079</v>
      </c>
      <c r="B58">
        <f>B5+(54-1)</f>
        <v>83</v>
      </c>
      <c r="C58" s="10">
        <f aca="1">IF(A58&lt;Param.FireStartjahr,0,Param.EntnahmeBetragStart*(1+Param.Inflationsrate)^(A58-Param.Startjahr))</f>
        <v>111041.704720634691</v>
      </c>
      <c r="D58" s="40">
        <f aca="1">IF(OR($A58&lt;Param.SonstigRegelmJahrBeginn1,$A58&gt;Param.SonstigRegelmJahrEnd1),0,Param.SonstigRegelmBetragJaehrl1*(1+Param.SonstigRegelmSteig1)^(A58-Param.SonstigRegelmJahrBeginn1))</f>
        <v>21106.4156086265975</v>
      </c>
      <c r="E58" s="40">
        <f aca="1">IF(OR($A58&lt;Param.SonstigRegelmJahrBeginn2,$A58&gt;Param.SonstigRegelmJahrEnd2),0,Param.SonstigRegelmBetragJaehrl2*(1+Param.SonstigRegelmSteig2)^($A58-Param.SonstigRegelmJahrBeginn2))</f>
        <v>0</v>
      </c>
      <c r="F58" s="40">
        <f aca="1">IF(OR($A58&lt;Param.SonstigRegelmJahrBeginn3,$A58&gt;Param.SonstigRegelmJahrEnd3),0,Param.SonstigRegelmBetragJaehrl3*(1+Param.SonstigRegelmSteig3)^($A58-Param.SonstigRegelmJahrBeginn3))</f>
        <v>0</v>
      </c>
      <c r="G58" s="40">
        <f aca="1">IF(OR($A58&lt;Param.SonstigRegelmJahrBeginn4,$A58&gt;Param.SonstigRegelmJahrEnd4),0,Param.SonstigRegelmBetragJaehrl4*(1+Param.SonstigRegelmSteig4)^($A58-Param.SonstigRegelmJahrBeginn4))</f>
        <v>0</v>
      </c>
      <c r="H58" s="40">
        <f aca="1">IF(OR($A58&lt;Param.SonstigRegelmJahrBeginn5,$A58&gt;Param.SonstigRegelmJahrEnd5),0,Param.SonstigRegelmBetragJaehrl5*(1+Param.SonstigRegelmSteig5)^($A58-Param.SonstigRegelmJahrBeginn5))</f>
        <v>0</v>
      </c>
      <c r="I58" s="40">
        <f aca="1">IF(OR($A58&lt;Param.SonstigRegelmJahrBeginn6,$A58&gt;Param.SonstigRegelmJahrEnd6),0,Param.SonstigRegelmBetragJaehrl6*(1+Param.SonstigRegelmSteig6)^($A58-Param.SonstigRegelmJahrBeginn6))</f>
        <v>0</v>
      </c>
      <c r="J58" s="40">
        <f aca="1">IF(OR($A58&lt;Param.SonstigRegelmJahrBeginn7,$A58&gt;Param.SonstigRegelmJahrEnd7),0,Param.SonstigRegelmBetragJaehrl7*(1+Param.SonstigRegelmSteig7)^($A58-Param.SonstigRegelmJahrBeginn7))</f>
        <v>0</v>
      </c>
      <c r="K58" s="40">
        <f aca="1">IF(OR($A58&lt;Param.SonstigRegelmJahrBeginn8,$A58&gt;Param.SonstigRegelmJahrEnd8),0,Param.SonstigRegelmBetragJaehrl8*(1+Param.SonstigRegelmSteig8)^($A58-Param.SonstigRegelmJahrBeginn8))</f>
        <v>0</v>
      </c>
      <c r="L58" s="40">
        <f aca="1">IF(OR($A58&lt;Param.SonstigRegelmJahrBeginn9,$A58&gt;Param.SonstigRegelmJahrEnd9),0,Param.SonstigRegelmBetragJaehrl9*(1+Param.SonstigRegelmSteig9)^($A58-Param.SonstigRegelmJahrBeginn9))</f>
        <v>0</v>
      </c>
      <c r="M58" s="40">
        <f aca="1">IF(OR($A58&lt;Param.SonstigRegelmJahrBeginn10,$A58&gt;Param.SonstigRegelmJahrEnd10),0,Param.SonstigRegelmBetragJaehrl10*(1+Param.SonstigRegelmSteig10)^($A58-Param.SonstigRegelmJahrBeginn10))</f>
        <v>0</v>
      </c>
      <c r="N58" s="10">
        <f>MAX(0,C58-SUM(D58:M58))</f>
        <v>89935.289112008395</v>
      </c>
      <c r="O58" s="10">
        <f>IF(N58&lt;=0,SUM(D58:M58)-C58,0)</f>
        <v>0</v>
      </c>
      <c r="P58" s="10">
        <f>S58+AP58</f>
        <v>186791.761721435701</v>
      </c>
      <c r="Q58" s="11">
        <f>IF(P58&gt;0,S58/P58,0)</f>
        <v>0.829758528029393716</v>
      </c>
      <c r="R58" s="11">
        <f>IF(P58&gt;0,AP58/P58,0)</f>
        <v>0.170241471970604596</v>
      </c>
      <c r="S58" s="10">
        <f>AL57</f>
        <v>154992.057253996143</v>
      </c>
      <c r="T58" s="40">
        <f>AM57</f>
        <v>148650.873626076005</v>
      </c>
      <c r="U58" s="40">
        <f aca="1">IF(A58&lt;Param.FireStartjahr,Param.SparrateDepotMonatl*12*(1+Param.SparrateDynamikJaehrl)^($A58-Param.Startjahr),0)</f>
        <v>0</v>
      </c>
      <c r="V58" s="40">
        <f aca="1">IF(AND(Param.SonstigEinmaligKonto1="Depot",$A58=Param.SonstigEinmaligJahr1),Param.SonstigEinmaligBetrag1,0)</f>
        <v>0</v>
      </c>
      <c r="W58" s="40">
        <f aca="1">IF(AND(Param.SonstigEinmaligKonto2="Depot",$A58=Param.SonstigEinmaligJahr2),Param.SonstigEinmaligBetrag2,0)</f>
        <v>0</v>
      </c>
      <c r="X58" s="40">
        <f aca="1">IF(AND(Param.SonstigEinmaligKonto3="Depot",$A58=Param.SonstigEinmaligJahr3),Param.SonstigEinmaligBetrag3,0)</f>
        <v>0</v>
      </c>
      <c r="Y58" s="40">
        <f aca="1">IF(AND(Param.SonstigEinmaligKonto4="Depot",$A58=Param.SonstigEinmaligJahr4),Param.SonstigEinmaligBetrag4,0)</f>
        <v>0</v>
      </c>
      <c r="Z58" s="40">
        <f aca="1">IF(AND(Param.SonstigEinmaligKonto5="Depot",$A58=Param.SonstigEinmaligJahr5),Param.SonstigEinmaligBetrag5,0)</f>
        <v>0</v>
      </c>
      <c r="AA58" s="40">
        <f aca="1">IF(AND(Param.SonstigEinmaligKonto6="Depot",$A58=Param.SonstigEinmaligJahr6),Param.SonstigEinmaligBetrag6,0)</f>
        <v>0</v>
      </c>
      <c r="AB58" s="40">
        <f aca="1">IF(AND(Param.SonstigEinmaligKonto7="Depot",$A58=Param.SonstigEinmaligJahr7),Param.SonstigEinmaligBetrag7,0)</f>
        <v>0</v>
      </c>
      <c r="AC58" s="40">
        <f aca="1">IF(AND(Param.SonstigEinmaligKonto8="Depot",$A58=Param.SonstigEinmaligJahr8),Param.SonstigEinmaligBetrag8,0)</f>
        <v>0</v>
      </c>
      <c r="AD58" s="40">
        <f aca="1">IF(AND(Param.SonstigEinmaligKonto9="Depot",$A58=Param.SonstigEinmaligJahr9),Param.SonstigEinmaligBetrag9,0)</f>
        <v>0</v>
      </c>
      <c r="AE58" s="40">
        <f aca="1">IF(AND(Param.SonstigEinmaligKonto10="Depot",$A58=Param.SonstigEinmaligJahr10),Param.SonstigEinmaligBetrag10,0)</f>
        <v>0</v>
      </c>
      <c r="AF58" s="40">
        <f aca="1">Param.SparerPauschbetrag-BF58</f>
        <v>670.220230661809978</v>
      </c>
      <c r="AG58" s="40">
        <f aca="1">IF(AND(A58&gt;=Param.FireStartjahr,S58&gt;0),MIN(N58*Q58,S58),0)</f>
        <v>74624.5731114780647</v>
      </c>
      <c r="AH58" s="40">
        <f aca="1">IF(AG58&lt;=0,0,IF(S58&lt;=0,0,AG58/(1-MAX(0,((T58/S58)*(1-Param.Teilfreistellung)-MIN(AF58,AG58)/AG58)*Param.KapSt))))</f>
        <v>90421.4375402033766</v>
      </c>
      <c r="AI58" s="40">
        <f>AH58-AG58</f>
        <v>15796.8644287253119</v>
      </c>
      <c r="AJ58" s="40">
        <f>T58-AH58*(T58/S58)</f>
        <v>61928.844620100208</v>
      </c>
      <c r="AK58" s="40">
        <f>S58-AH58</f>
        <v>64570.6197137925919</v>
      </c>
      <c r="AL58" s="40">
        <f>FV(AO58,12,-(U58/12),-AK58,0)</f>
        <v>68444.8568966176099</v>
      </c>
      <c r="AM58" s="40">
        <f>AJ58+AL58-AK58-U58</f>
        <v>65803.0818029254006</v>
      </c>
      <c r="AN58" s="5">
        <f>AM58/AL58</f>
        <v>0.961402869207799426</v>
      </c>
      <c r="AO58" s="5">
        <f aca="1">(1+IF(AND(A58&gt;=Param.DepotRenditeSpezBeginn1,A58&lt;=Param.DepotRenditeSpezEnde1),Param.DepotRenditeSpezProz1,IF(AND(A58&gt;=Param.DepotRenditeSpezBeginn2,A58&lt;=Param.DepotRenditeSpezEnde2),Param.DepotRenditeSpezProz2,IF(AND(A58&gt;=Param.DepotRenditeSpezBeginn3,A58&lt;=Param.DepotRenditeSpezEnde3),Param.DepotRenditeSpezProz3,IF(AND(A58&gt;=Param.DepotRenditeSpezBeginn4,A58&lt;=Param.DepotRenditeSpezEnde4),Param.DepotRenditeSpezProz4,IF(AND(A58&gt;=Param.DepotRenditeSpezBeginn5,A58&lt;=Param.DepotRenditeSpezEnde5),Param.DepotRenditeSpezProz5,Param.DepotRenditeDefault))))))^(1/12)-1</f>
        <v>0.00486755056533993979</v>
      </c>
      <c r="AP58" s="40">
        <f>BJ57</f>
        <v>31799.7044674397221</v>
      </c>
      <c r="AQ58" s="40">
        <f aca="1">IF(A58&lt;Param.FireStartjahr,Param.SparrateFestgeldMonatl*12*(1+Param.SparrateDynamikJaehrl)^($A58-Param.Startjahr),0)</f>
        <v>0</v>
      </c>
      <c r="AR58" s="40">
        <f>O58</f>
        <v>0</v>
      </c>
      <c r="AS58" s="40">
        <f aca="1">IF(AND(Param.SonstigEinmaligKonto1="Festgeld",$A58=Param.SonstigEinmaligJahr1),Param.SonstigEinmaligBetrag1,0)</f>
        <v>0</v>
      </c>
      <c r="AT58" s="40">
        <f aca="1">IF(AND(Param.SonstigEinmaligKonto2="Festgeld",$A58=Param.SonstigEinmaligJahr2),Param.SonstigEinmaligBetrag2,0)</f>
        <v>0</v>
      </c>
      <c r="AU58" s="40">
        <f aca="1">IF(AND(Param.SonstigEinmaligKonto3="Festgeld",$A58=Param.SonstigEinmaligJahr3),Param.SonstigEinmaligBetrag3,0)</f>
        <v>0</v>
      </c>
      <c r="AV58" s="40">
        <f aca="1">IF(AND(Param.SonstigEinmaligKonto4="Festgeld",$A58=Param.SonstigEinmaligJahr4),Param.SonstigEinmaligBetrag4,0)</f>
        <v>0</v>
      </c>
      <c r="AW58" s="40">
        <f aca="1">IF(AND(Param.SonstigEinmaligKonto5="Festgeld",$A58=Param.SonstigEinmaligJahr5),Param.SonstigEinmaligBetrag5,0)</f>
        <v>0</v>
      </c>
      <c r="AX58" s="40">
        <f aca="1">IF(AND(Param.SonstigEinmaligKonto6="Festgeld",$A58=Param.SonstigEinmaligJahr6),Param.SonstigEinmaligBetrag6,0)</f>
        <v>0</v>
      </c>
      <c r="AY58" s="40">
        <f aca="1">IF(AND(Param.SonstigEinmaligKonto7="Festgeld",$A58=Param.SonstigEinmaligJahr7),Param.SonstigEinmaligBetrag7,0)</f>
        <v>0</v>
      </c>
      <c r="AZ58" s="40">
        <f aca="1">IF(AND(Param.SonstigEinmaligKonto8="Festgeld",$A58=Param.SonstigEinmaligJahr8),Param.SonstigEinmaligBetrag8,0)</f>
        <v>0</v>
      </c>
      <c r="BA58" s="40">
        <f aca="1">IF(AND(Param.SonstigEinmaligKonto9="Festgeld",$A58=Param.SonstigEinmaligJahr9),Param.SonstigEinmaligBetrag9,0)</f>
        <v>0</v>
      </c>
      <c r="BB58" s="40">
        <f aca="1">IF(AND(Param.SonstigEinmaligKonto10="Festgeld",$A58=Param.SonstigEinmaligJahr10),Param.SonstigEinmaligBetrag10,0)</f>
        <v>0</v>
      </c>
      <c r="BC58" s="40">
        <f aca="1">IF(AND(A58&gt;=Param.FireStartjahr,AP58&gt;0),MIN(N58*R58,AP58),0)</f>
        <v>15310.7160005302339</v>
      </c>
      <c r="BD58" s="5">
        <f aca="1">Param.FestgeldZinssatz</f>
        <v>0.02</v>
      </c>
      <c r="BE58" s="40">
        <f>(AP58+AQ58-BC58)*BD58</f>
        <v>329.779769338190022</v>
      </c>
      <c r="BF58" s="40">
        <f aca="1">IF(BE58&gt;Param.SparerPauschbetrag,Param.SparerPauschbetrag,BE58)</f>
        <v>329.779769338190022</v>
      </c>
      <c r="BG58" s="40">
        <f>BE58-BF58</f>
        <v>0</v>
      </c>
      <c r="BH58" s="40">
        <f aca="1">BG58*Param.KapSt</f>
        <v>0</v>
      </c>
      <c r="BI58" s="40">
        <f>BE58-BH58</f>
        <v>329.779769338190022</v>
      </c>
      <c r="BJ58" s="63">
        <f>AP58+SUM(AQ58:BB58)-BC58+BI58</f>
        <v>16818.7682362476917</v>
      </c>
      <c r="BK58" s="40">
        <f>AL58+BJ58</f>
        <v>85263.6251328653016</v>
      </c>
      <c r="BL58" s="40">
        <f aca="1">BK58/(1+Param.Inflationsrate)^(A58-Param.Startjahr)</f>
        <v>23035.5681265997991</v>
      </c>
      <c r="BM58" s="52">
        <f>IF(BK58&lt;N58,A58,"")</f>
        <v>2079</v>
      </c>
      <c r="BN58" s="40">
        <f>AH58+BC58</f>
        <v>105732.153540733605</v>
      </c>
      <c r="BO58" s="40">
        <f>SUM(AR58:BB58)</f>
        <v>0</v>
      </c>
      <c r="BP58" s="40">
        <f>BN58+(-1*BO58)</f>
        <v>105732.153540733998</v>
      </c>
      <c r="BQ58" s="40">
        <f>AI58+BH58</f>
        <v>15796.8644287252991</v>
      </c>
      <c r="BR58" s="5">
        <f>IF(BK58&gt;0,BP58/BK58,0)</f>
        <v>1.24006167197292894</v>
      </c>
    </row>
    <row r="59" spans="1:70">
      <c r="A59">
        <f>A58+1</f>
        <v>2080</v>
      </c>
      <c r="B59">
        <f>B5+(55-1)</f>
        <v>84</v>
      </c>
      <c r="C59" s="10">
        <f aca="1">IF(A59&lt;Param.FireStartjahr,0,Param.EntnahmeBetragStart*(1+Param.Inflationsrate)^(A59-Param.Startjahr))</f>
        <v>113817.747338650501</v>
      </c>
      <c r="D59" s="40">
        <f aca="1">IF(OR($A59&lt;Param.SonstigRegelmJahrBeginn1,$A59&gt;Param.SonstigRegelmJahrEnd1),0,Param.SonstigRegelmBetragJaehrl1*(1+Param.SonstigRegelmSteig1)^(A59-Param.SonstigRegelmJahrBeginn1))</f>
        <v>21317.4797647129199</v>
      </c>
      <c r="E59" s="40">
        <f aca="1">IF(OR($A59&lt;Param.SonstigRegelmJahrBeginn2,$A59&gt;Param.SonstigRegelmJahrEnd2),0,Param.SonstigRegelmBetragJaehrl2*(1+Param.SonstigRegelmSteig2)^($A59-Param.SonstigRegelmJahrBeginn2))</f>
        <v>0</v>
      </c>
      <c r="F59" s="40">
        <f aca="1">IF(OR($A59&lt;Param.SonstigRegelmJahrBeginn3,$A59&gt;Param.SonstigRegelmJahrEnd3),0,Param.SonstigRegelmBetragJaehrl3*(1+Param.SonstigRegelmSteig3)^($A59-Param.SonstigRegelmJahrBeginn3))</f>
        <v>0</v>
      </c>
      <c r="G59" s="40">
        <f aca="1">IF(OR($A59&lt;Param.SonstigRegelmJahrBeginn4,$A59&gt;Param.SonstigRegelmJahrEnd4),0,Param.SonstigRegelmBetragJaehrl4*(1+Param.SonstigRegelmSteig4)^($A59-Param.SonstigRegelmJahrBeginn4))</f>
        <v>0</v>
      </c>
      <c r="H59" s="40">
        <f aca="1">IF(OR($A59&lt;Param.SonstigRegelmJahrBeginn5,$A59&gt;Param.SonstigRegelmJahrEnd5),0,Param.SonstigRegelmBetragJaehrl5*(1+Param.SonstigRegelmSteig5)^($A59-Param.SonstigRegelmJahrBeginn5))</f>
        <v>0</v>
      </c>
      <c r="I59" s="40">
        <f aca="1">IF(OR($A59&lt;Param.SonstigRegelmJahrBeginn6,$A59&gt;Param.SonstigRegelmJahrEnd6),0,Param.SonstigRegelmBetragJaehrl6*(1+Param.SonstigRegelmSteig6)^($A59-Param.SonstigRegelmJahrBeginn6))</f>
        <v>0</v>
      </c>
      <c r="J59" s="40">
        <f aca="1">IF(OR($A59&lt;Param.SonstigRegelmJahrBeginn7,$A59&gt;Param.SonstigRegelmJahrEnd7),0,Param.SonstigRegelmBetragJaehrl7*(1+Param.SonstigRegelmSteig7)^($A59-Param.SonstigRegelmJahrBeginn7))</f>
        <v>0</v>
      </c>
      <c r="K59" s="40">
        <f aca="1">IF(OR($A59&lt;Param.SonstigRegelmJahrBeginn8,$A59&gt;Param.SonstigRegelmJahrEnd8),0,Param.SonstigRegelmBetragJaehrl8*(1+Param.SonstigRegelmSteig8)^($A59-Param.SonstigRegelmJahrBeginn8))</f>
        <v>0</v>
      </c>
      <c r="L59" s="40">
        <f aca="1">IF(OR($A59&lt;Param.SonstigRegelmJahrBeginn9,$A59&gt;Param.SonstigRegelmJahrEnd9),0,Param.SonstigRegelmBetragJaehrl9*(1+Param.SonstigRegelmSteig9)^($A59-Param.SonstigRegelmJahrBeginn9))</f>
        <v>0</v>
      </c>
      <c r="M59" s="40">
        <f aca="1">IF(OR($A59&lt;Param.SonstigRegelmJahrBeginn10,$A59&gt;Param.SonstigRegelmJahrEnd10),0,Param.SonstigRegelmBetragJaehrl10*(1+Param.SonstigRegelmSteig10)^($A59-Param.SonstigRegelmJahrBeginn10))</f>
        <v>0</v>
      </c>
      <c r="N59" s="10">
        <f>MAX(0,C59-SUM(D59:M59))</f>
        <v>92500.2675739380938</v>
      </c>
      <c r="O59" s="10">
        <f>IF(N59&lt;=0,SUM(D59:M59)-C59,0)</f>
        <v>0</v>
      </c>
      <c r="P59" s="10">
        <f>S59+AP59</f>
        <v>85263.6251328653016</v>
      </c>
      <c r="Q59" s="11">
        <f>IF(P59&gt;0,S59/P59,0)</f>
        <v>0.802743922627741568</v>
      </c>
      <c r="R59" s="11">
        <f>IF(P59&gt;0,AP59/P59,0)</f>
        <v>0.197256077372258236</v>
      </c>
      <c r="S59" s="10">
        <f>AL58</f>
        <v>68444.8568966176099</v>
      </c>
      <c r="T59" s="40">
        <f>AM58</f>
        <v>65803.0818029254006</v>
      </c>
      <c r="U59" s="40">
        <f aca="1">IF(A59&lt;Param.FireStartjahr,Param.SparrateDepotMonatl*12*(1+Param.SparrateDynamikJaehrl)^($A59-Param.Startjahr),0)</f>
        <v>0</v>
      </c>
      <c r="V59" s="40">
        <f aca="1">IF(AND(Param.SonstigEinmaligKonto1="Depot",$A59=Param.SonstigEinmaligJahr1),Param.SonstigEinmaligBetrag1,0)</f>
        <v>0</v>
      </c>
      <c r="W59" s="40">
        <f aca="1">IF(AND(Param.SonstigEinmaligKonto2="Depot",$A59=Param.SonstigEinmaligJahr2),Param.SonstigEinmaligBetrag2,0)</f>
        <v>0</v>
      </c>
      <c r="X59" s="40">
        <f aca="1">IF(AND(Param.SonstigEinmaligKonto3="Depot",$A59=Param.SonstigEinmaligJahr3),Param.SonstigEinmaligBetrag3,0)</f>
        <v>0</v>
      </c>
      <c r="Y59" s="40">
        <f aca="1">IF(AND(Param.SonstigEinmaligKonto4="Depot",$A59=Param.SonstigEinmaligJahr4),Param.SonstigEinmaligBetrag4,0)</f>
        <v>0</v>
      </c>
      <c r="Z59" s="40">
        <f aca="1">IF(AND(Param.SonstigEinmaligKonto5="Depot",$A59=Param.SonstigEinmaligJahr5),Param.SonstigEinmaligBetrag5,0)</f>
        <v>0</v>
      </c>
      <c r="AA59" s="40">
        <f aca="1">IF(AND(Param.SonstigEinmaligKonto6="Depot",$A59=Param.SonstigEinmaligJahr6),Param.SonstigEinmaligBetrag6,0)</f>
        <v>0</v>
      </c>
      <c r="AB59" s="40">
        <f aca="1">IF(AND(Param.SonstigEinmaligKonto7="Depot",$A59=Param.SonstigEinmaligJahr7),Param.SonstigEinmaligBetrag7,0)</f>
        <v>0</v>
      </c>
      <c r="AC59" s="40">
        <f aca="1">IF(AND(Param.SonstigEinmaligKonto8="Depot",$A59=Param.SonstigEinmaligJahr8),Param.SonstigEinmaligBetrag8,0)</f>
        <v>0</v>
      </c>
      <c r="AD59" s="40">
        <f aca="1">IF(AND(Param.SonstigEinmaligKonto9="Depot",$A59=Param.SonstigEinmaligJahr9),Param.SonstigEinmaligBetrag9,0)</f>
        <v>0</v>
      </c>
      <c r="AE59" s="40">
        <f aca="1">IF(AND(Param.SonstigEinmaligKonto10="Depot",$A59=Param.SonstigEinmaligJahr10),Param.SonstigEinmaligBetrag10,0)</f>
        <v>0</v>
      </c>
      <c r="AF59" s="40">
        <f aca="1">Param.SparerPauschbetrag-BF59</f>
        <v>1000</v>
      </c>
      <c r="AG59" s="40">
        <f aca="1">IF(AND(A59&gt;=Param.FireStartjahr,S59&gt;0),MIN(N59*Q59,S59),0)</f>
        <v>68444.8568966176099</v>
      </c>
      <c r="AH59" s="40">
        <f aca="1">IF(AG59&lt;=0,0,IF(S59&lt;=0,0,AG59/(1-MAX(0,((T59/S59)*(1-Param.Teilfreistellung)-MIN(AF59,AG59)/AG59)*Param.KapSt))))</f>
        <v>82827.479027837122</v>
      </c>
      <c r="AI59" s="40">
        <f>AH59-AG59</f>
        <v>14382.6221312194975</v>
      </c>
      <c r="AJ59" s="40">
        <f>T59-AH59*(T59/S59)</f>
        <v>-13827.4941836860962</v>
      </c>
      <c r="AK59" s="40">
        <f>S59-AH59</f>
        <v>-14382.6221312194975</v>
      </c>
      <c r="AL59" s="40">
        <f>FV(AO59,12,-(U59/12),-AK59,0)</f>
        <v>-15245.5794590921032</v>
      </c>
      <c r="AM59" s="40">
        <f>AJ59+AL59-AK59-U59</f>
        <v>-14690.4515115587001</v>
      </c>
      <c r="AN59" s="5">
        <f>AM59/AL59</f>
        <v>0.963587612460191778</v>
      </c>
      <c r="AO59" s="5">
        <f aca="1">(1+IF(AND(A59&gt;=Param.DepotRenditeSpezBeginn1,A59&lt;=Param.DepotRenditeSpezEnde1),Param.DepotRenditeSpezProz1,IF(AND(A59&gt;=Param.DepotRenditeSpezBeginn2,A59&lt;=Param.DepotRenditeSpezEnde2),Param.DepotRenditeSpezProz2,IF(AND(A59&gt;=Param.DepotRenditeSpezBeginn3,A59&lt;=Param.DepotRenditeSpezEnde3),Param.DepotRenditeSpezProz3,IF(AND(A59&gt;=Param.DepotRenditeSpezBeginn4,A59&lt;=Param.DepotRenditeSpezEnde4),Param.DepotRenditeSpezProz4,IF(AND(A59&gt;=Param.DepotRenditeSpezBeginn5,A59&lt;=Param.DepotRenditeSpezEnde5),Param.DepotRenditeSpezProz5,Param.DepotRenditeDefault))))))^(1/12)-1</f>
        <v>0.00486755056533993979</v>
      </c>
      <c r="AP59" s="40">
        <f>BJ58</f>
        <v>16818.7682362476917</v>
      </c>
      <c r="AQ59" s="40">
        <f aca="1">IF(A59&lt;Param.FireStartjahr,Param.SparrateFestgeldMonatl*12*(1+Param.SparrateDynamikJaehrl)^($A59-Param.Startjahr),0)</f>
        <v>0</v>
      </c>
      <c r="AR59" s="40">
        <f>O59</f>
        <v>0</v>
      </c>
      <c r="AS59" s="40">
        <f aca="1">IF(AND(Param.SonstigEinmaligKonto1="Festgeld",$A59=Param.SonstigEinmaligJahr1),Param.SonstigEinmaligBetrag1,0)</f>
        <v>0</v>
      </c>
      <c r="AT59" s="40">
        <f aca="1">IF(AND(Param.SonstigEinmaligKonto2="Festgeld",$A59=Param.SonstigEinmaligJahr2),Param.SonstigEinmaligBetrag2,0)</f>
        <v>0</v>
      </c>
      <c r="AU59" s="40">
        <f aca="1">IF(AND(Param.SonstigEinmaligKonto3="Festgeld",$A59=Param.SonstigEinmaligJahr3),Param.SonstigEinmaligBetrag3,0)</f>
        <v>0</v>
      </c>
      <c r="AV59" s="40">
        <f aca="1">IF(AND(Param.SonstigEinmaligKonto4="Festgeld",$A59=Param.SonstigEinmaligJahr4),Param.SonstigEinmaligBetrag4,0)</f>
        <v>0</v>
      </c>
      <c r="AW59" s="40">
        <f aca="1">IF(AND(Param.SonstigEinmaligKonto5="Festgeld",$A59=Param.SonstigEinmaligJahr5),Param.SonstigEinmaligBetrag5,0)</f>
        <v>0</v>
      </c>
      <c r="AX59" s="40">
        <f aca="1">IF(AND(Param.SonstigEinmaligKonto6="Festgeld",$A59=Param.SonstigEinmaligJahr6),Param.SonstigEinmaligBetrag6,0)</f>
        <v>0</v>
      </c>
      <c r="AY59" s="40">
        <f aca="1">IF(AND(Param.SonstigEinmaligKonto7="Festgeld",$A59=Param.SonstigEinmaligJahr7),Param.SonstigEinmaligBetrag7,0)</f>
        <v>0</v>
      </c>
      <c r="AZ59" s="40">
        <f aca="1">IF(AND(Param.SonstigEinmaligKonto8="Festgeld",$A59=Param.SonstigEinmaligJahr8),Param.SonstigEinmaligBetrag8,0)</f>
        <v>0</v>
      </c>
      <c r="BA59" s="40">
        <f aca="1">IF(AND(Param.SonstigEinmaligKonto9="Festgeld",$A59=Param.SonstigEinmaligJahr9),Param.SonstigEinmaligBetrag9,0)</f>
        <v>0</v>
      </c>
      <c r="BB59" s="40">
        <f aca="1">IF(AND(Param.SonstigEinmaligKonto10="Festgeld",$A59=Param.SonstigEinmaligJahr10),Param.SonstigEinmaligBetrag10,0)</f>
        <v>0</v>
      </c>
      <c r="BC59" s="40">
        <f aca="1">IF(AND(A59&gt;=Param.FireStartjahr,AP59&gt;0),MIN(N59*R59,AP59),0)</f>
        <v>16818.7682362476917</v>
      </c>
      <c r="BD59" s="5">
        <f aca="1">Param.FestgeldZinssatz</f>
        <v>0.02</v>
      </c>
      <c r="BE59" s="40">
        <f>(AP59+AQ59-BC59)*BD59</f>
        <v>0</v>
      </c>
      <c r="BF59" s="40">
        <f aca="1">IF(BE59&gt;Param.SparerPauschbetrag,Param.SparerPauschbetrag,BE59)</f>
        <v>0</v>
      </c>
      <c r="BG59" s="40">
        <f>BE59-BF59</f>
        <v>0</v>
      </c>
      <c r="BH59" s="40">
        <f aca="1">BG59*Param.KapSt</f>
        <v>0</v>
      </c>
      <c r="BI59" s="40">
        <f>BE59-BH59</f>
        <v>0</v>
      </c>
      <c r="BJ59" s="63">
        <f>AP59+SUM(AQ59:BB59)-BC59+BI59</f>
        <v>0</v>
      </c>
      <c r="BK59" s="40">
        <f>AL59+BJ59</f>
        <v>-15245.5794590920996</v>
      </c>
      <c r="BL59" s="40">
        <f aca="1">BK59/(1+Param.Inflationsrate)^(A59-Param.Startjahr)</f>
        <v>-4018.41887110911966</v>
      </c>
      <c r="BM59" s="52">
        <f>IF(BK59&lt;N59,A59,"")</f>
        <v>2080</v>
      </c>
      <c r="BN59" s="40">
        <f>AH59+BC59</f>
        <v>99646.2472640847845</v>
      </c>
      <c r="BO59" s="40">
        <f>SUM(AR59:BB59)</f>
        <v>0</v>
      </c>
      <c r="BP59" s="40">
        <f>BN59+(-1*BO59)</f>
        <v>99646.2472640847991</v>
      </c>
      <c r="BQ59" s="40">
        <f>AI59+BH59</f>
        <v>14382.6221312194994</v>
      </c>
      <c r="BR59" s="5">
        <f>IF(BK59&gt;0,BP59/BK59,0)</f>
        <v>0</v>
      </c>
    </row>
    <row r="60" spans="1:70">
      <c r="A60">
        <f>A59+1</f>
        <v>2081</v>
      </c>
      <c r="B60">
        <f>B5+(56-1)</f>
        <v>85</v>
      </c>
      <c r="C60" s="10">
        <f aca="1">IF(A60&lt;Param.FireStartjahr,0,Param.EntnahmeBetragStart*(1+Param.Inflationsrate)^(A60-Param.Startjahr))</f>
        <v>116663.191022116807</v>
      </c>
      <c r="D60" s="40">
        <f aca="1">IF(OR($A60&lt;Param.SonstigRegelmJahrBeginn1,$A60&gt;Param.SonstigRegelmJahrEnd1),0,Param.SonstigRegelmBetragJaehrl1*(1+Param.SonstigRegelmSteig1)^(A60-Param.SonstigRegelmJahrBeginn1))</f>
        <v>21530.6545623600578</v>
      </c>
      <c r="E60" s="40">
        <f aca="1">IF(OR($A60&lt;Param.SonstigRegelmJahrBeginn2,$A60&gt;Param.SonstigRegelmJahrEnd2),0,Param.SonstigRegelmBetragJaehrl2*(1+Param.SonstigRegelmSteig2)^($A60-Param.SonstigRegelmJahrBeginn2))</f>
        <v>0</v>
      </c>
      <c r="F60" s="40">
        <f aca="1">IF(OR($A60&lt;Param.SonstigRegelmJahrBeginn3,$A60&gt;Param.SonstigRegelmJahrEnd3),0,Param.SonstigRegelmBetragJaehrl3*(1+Param.SonstigRegelmSteig3)^($A60-Param.SonstigRegelmJahrBeginn3))</f>
        <v>0</v>
      </c>
      <c r="G60" s="40">
        <f aca="1">IF(OR($A60&lt;Param.SonstigRegelmJahrBeginn4,$A60&gt;Param.SonstigRegelmJahrEnd4),0,Param.SonstigRegelmBetragJaehrl4*(1+Param.SonstigRegelmSteig4)^($A60-Param.SonstigRegelmJahrBeginn4))</f>
        <v>0</v>
      </c>
      <c r="H60" s="40">
        <f aca="1">IF(OR($A60&lt;Param.SonstigRegelmJahrBeginn5,$A60&gt;Param.SonstigRegelmJahrEnd5),0,Param.SonstigRegelmBetragJaehrl5*(1+Param.SonstigRegelmSteig5)^($A60-Param.SonstigRegelmJahrBeginn5))</f>
        <v>0</v>
      </c>
      <c r="I60" s="40">
        <f aca="1">IF(OR($A60&lt;Param.SonstigRegelmJahrBeginn6,$A60&gt;Param.SonstigRegelmJahrEnd6),0,Param.SonstigRegelmBetragJaehrl6*(1+Param.SonstigRegelmSteig6)^($A60-Param.SonstigRegelmJahrBeginn6))</f>
        <v>0</v>
      </c>
      <c r="J60" s="40">
        <f aca="1">IF(OR($A60&lt;Param.SonstigRegelmJahrBeginn7,$A60&gt;Param.SonstigRegelmJahrEnd7),0,Param.SonstigRegelmBetragJaehrl7*(1+Param.SonstigRegelmSteig7)^($A60-Param.SonstigRegelmJahrBeginn7))</f>
        <v>0</v>
      </c>
      <c r="K60" s="40">
        <f aca="1">IF(OR($A60&lt;Param.SonstigRegelmJahrBeginn8,$A60&gt;Param.SonstigRegelmJahrEnd8),0,Param.SonstigRegelmBetragJaehrl8*(1+Param.SonstigRegelmSteig8)^($A60-Param.SonstigRegelmJahrBeginn8))</f>
        <v>0</v>
      </c>
      <c r="L60" s="40">
        <f aca="1">IF(OR($A60&lt;Param.SonstigRegelmJahrBeginn9,$A60&gt;Param.SonstigRegelmJahrEnd9),0,Param.SonstigRegelmBetragJaehrl9*(1+Param.SonstigRegelmSteig9)^($A60-Param.SonstigRegelmJahrBeginn9))</f>
        <v>0</v>
      </c>
      <c r="M60" s="40">
        <f aca="1">IF(OR($A60&lt;Param.SonstigRegelmJahrBeginn10,$A60&gt;Param.SonstigRegelmJahrEnd10),0,Param.SonstigRegelmBetragJaehrl10*(1+Param.SonstigRegelmSteig10)^($A60-Param.SonstigRegelmJahrBeginn10))</f>
        <v>0</v>
      </c>
      <c r="N60" s="10">
        <f>MAX(0,C60-SUM(D60:M60))</f>
        <v>95132.5364597568987</v>
      </c>
      <c r="O60" s="10">
        <f>IF(N60&lt;=0,SUM(D60:M60)-C60,0)</f>
        <v>0</v>
      </c>
      <c r="P60" s="10">
        <f>S60+AP60</f>
        <v>-15245.5794590920996</v>
      </c>
      <c r="Q60" s="11">
        <f>IF(P60&gt;0,S60/P60,0)</f>
        <v>0</v>
      </c>
      <c r="R60" s="11">
        <f>IF(P60&gt;0,AP60/P60,0)</f>
        <v>0</v>
      </c>
      <c r="S60" s="10">
        <f>AL59</f>
        <v>-15245.5794590921032</v>
      </c>
      <c r="T60" s="40">
        <f>AM59</f>
        <v>-14690.4515115587001</v>
      </c>
      <c r="U60" s="40">
        <f aca="1">IF(A60&lt;Param.FireStartjahr,Param.SparrateDepotMonatl*12*(1+Param.SparrateDynamikJaehrl)^($A60-Param.Startjahr),0)</f>
        <v>0</v>
      </c>
      <c r="V60" s="40">
        <f aca="1">IF(AND(Param.SonstigEinmaligKonto1="Depot",$A60=Param.SonstigEinmaligJahr1),Param.SonstigEinmaligBetrag1,0)</f>
        <v>0</v>
      </c>
      <c r="W60" s="40">
        <f aca="1">IF(AND(Param.SonstigEinmaligKonto2="Depot",$A60=Param.SonstigEinmaligJahr2),Param.SonstigEinmaligBetrag2,0)</f>
        <v>0</v>
      </c>
      <c r="X60" s="40">
        <f aca="1">IF(AND(Param.SonstigEinmaligKonto3="Depot",$A60=Param.SonstigEinmaligJahr3),Param.SonstigEinmaligBetrag3,0)</f>
        <v>0</v>
      </c>
      <c r="Y60" s="40">
        <f aca="1">IF(AND(Param.SonstigEinmaligKonto4="Depot",$A60=Param.SonstigEinmaligJahr4),Param.SonstigEinmaligBetrag4,0)</f>
        <v>0</v>
      </c>
      <c r="Z60" s="40">
        <f aca="1">IF(AND(Param.SonstigEinmaligKonto5="Depot",$A60=Param.SonstigEinmaligJahr5),Param.SonstigEinmaligBetrag5,0)</f>
        <v>0</v>
      </c>
      <c r="AA60" s="40">
        <f aca="1">IF(AND(Param.SonstigEinmaligKonto6="Depot",$A60=Param.SonstigEinmaligJahr6),Param.SonstigEinmaligBetrag6,0)</f>
        <v>0</v>
      </c>
      <c r="AB60" s="40">
        <f aca="1">IF(AND(Param.SonstigEinmaligKonto7="Depot",$A60=Param.SonstigEinmaligJahr7),Param.SonstigEinmaligBetrag7,0)</f>
        <v>0</v>
      </c>
      <c r="AC60" s="40">
        <f aca="1">IF(AND(Param.SonstigEinmaligKonto8="Depot",$A60=Param.SonstigEinmaligJahr8),Param.SonstigEinmaligBetrag8,0)</f>
        <v>0</v>
      </c>
      <c r="AD60" s="40">
        <f aca="1">IF(AND(Param.SonstigEinmaligKonto9="Depot",$A60=Param.SonstigEinmaligJahr9),Param.SonstigEinmaligBetrag9,0)</f>
        <v>0</v>
      </c>
      <c r="AE60" s="40">
        <f aca="1">IF(AND(Param.SonstigEinmaligKonto10="Depot",$A60=Param.SonstigEinmaligJahr10),Param.SonstigEinmaligBetrag10,0)</f>
        <v>0</v>
      </c>
      <c r="AF60" s="40">
        <f aca="1">Param.SparerPauschbetrag-BF60</f>
        <v>1000</v>
      </c>
      <c r="AG60" s="40">
        <f aca="1">IF(AND(A60&gt;=Param.FireStartjahr,S60&gt;0),MIN(N60*Q60,S60),0)</f>
        <v>0</v>
      </c>
      <c r="AH60" s="40">
        <f aca="1">IF(AG60&lt;=0,0,IF(S60&lt;=0,0,AG60/(1-MAX(0,((T60/S60)*(1-Param.Teilfreistellung)-MIN(AF60,AG60)/AG60)*Param.KapSt))))</f>
        <v>0</v>
      </c>
      <c r="AI60" s="40">
        <f>AH60-AG60</f>
        <v>0</v>
      </c>
      <c r="AJ60" s="40">
        <f>T60-AH60*(T60/S60)</f>
        <v>-14690.4515115587001</v>
      </c>
      <c r="AK60" s="40">
        <f>S60-AH60</f>
        <v>-15245.5794590920996</v>
      </c>
      <c r="AL60" s="40">
        <f>FV(AO60,12,-(U60/12),-AK60,0)</f>
        <v>-16160.3142266370269</v>
      </c>
      <c r="AM60" s="40">
        <f>AJ60+AL60-AK60-U60</f>
        <v>-15605.1862791036001</v>
      </c>
      <c r="AN60" s="5">
        <f>AM60/AL60</f>
        <v>0.96564869100017976</v>
      </c>
      <c r="AO60" s="5">
        <f aca="1">(1+IF(AND(A60&gt;=Param.DepotRenditeSpezBeginn1,A60&lt;=Param.DepotRenditeSpezEnde1),Param.DepotRenditeSpezProz1,IF(AND(A60&gt;=Param.DepotRenditeSpezBeginn2,A60&lt;=Param.DepotRenditeSpezEnde2),Param.DepotRenditeSpezProz2,IF(AND(A60&gt;=Param.DepotRenditeSpezBeginn3,A60&lt;=Param.DepotRenditeSpezEnde3),Param.DepotRenditeSpezProz3,IF(AND(A60&gt;=Param.DepotRenditeSpezBeginn4,A60&lt;=Param.DepotRenditeSpezEnde4),Param.DepotRenditeSpezProz4,IF(AND(A60&gt;=Param.DepotRenditeSpezBeginn5,A60&lt;=Param.DepotRenditeSpezEnde5),Param.DepotRenditeSpezProz5,Param.DepotRenditeDefault))))))^(1/12)-1</f>
        <v>0.00486755056533993979</v>
      </c>
      <c r="AP60" s="40">
        <f>BJ59</f>
        <v>0</v>
      </c>
      <c r="AQ60" s="40">
        <f aca="1">IF(A60&lt;Param.FireStartjahr,Param.SparrateFestgeldMonatl*12*(1+Param.SparrateDynamikJaehrl)^($A60-Param.Startjahr),0)</f>
        <v>0</v>
      </c>
      <c r="AR60" s="40">
        <f>O60</f>
        <v>0</v>
      </c>
      <c r="AS60" s="40">
        <f aca="1">IF(AND(Param.SonstigEinmaligKonto1="Festgeld",$A60=Param.SonstigEinmaligJahr1),Param.SonstigEinmaligBetrag1,0)</f>
        <v>0</v>
      </c>
      <c r="AT60" s="40">
        <f aca="1">IF(AND(Param.SonstigEinmaligKonto2="Festgeld",$A60=Param.SonstigEinmaligJahr2),Param.SonstigEinmaligBetrag2,0)</f>
        <v>0</v>
      </c>
      <c r="AU60" s="40">
        <f aca="1">IF(AND(Param.SonstigEinmaligKonto3="Festgeld",$A60=Param.SonstigEinmaligJahr3),Param.SonstigEinmaligBetrag3,0)</f>
        <v>0</v>
      </c>
      <c r="AV60" s="40">
        <f aca="1">IF(AND(Param.SonstigEinmaligKonto4="Festgeld",$A60=Param.SonstigEinmaligJahr4),Param.SonstigEinmaligBetrag4,0)</f>
        <v>0</v>
      </c>
      <c r="AW60" s="40">
        <f aca="1">IF(AND(Param.SonstigEinmaligKonto5="Festgeld",$A60=Param.SonstigEinmaligJahr5),Param.SonstigEinmaligBetrag5,0)</f>
        <v>0</v>
      </c>
      <c r="AX60" s="40">
        <f aca="1">IF(AND(Param.SonstigEinmaligKonto6="Festgeld",$A60=Param.SonstigEinmaligJahr6),Param.SonstigEinmaligBetrag6,0)</f>
        <v>0</v>
      </c>
      <c r="AY60" s="40">
        <f aca="1">IF(AND(Param.SonstigEinmaligKonto7="Festgeld",$A60=Param.SonstigEinmaligJahr7),Param.SonstigEinmaligBetrag7,0)</f>
        <v>0</v>
      </c>
      <c r="AZ60" s="40">
        <f aca="1">IF(AND(Param.SonstigEinmaligKonto8="Festgeld",$A60=Param.SonstigEinmaligJahr8),Param.SonstigEinmaligBetrag8,0)</f>
        <v>0</v>
      </c>
      <c r="BA60" s="40">
        <f aca="1">IF(AND(Param.SonstigEinmaligKonto9="Festgeld",$A60=Param.SonstigEinmaligJahr9),Param.SonstigEinmaligBetrag9,0)</f>
        <v>0</v>
      </c>
      <c r="BB60" s="40">
        <f aca="1">IF(AND(Param.SonstigEinmaligKonto10="Festgeld",$A60=Param.SonstigEinmaligJahr10),Param.SonstigEinmaligBetrag10,0)</f>
        <v>0</v>
      </c>
      <c r="BC60" s="40">
        <f aca="1">IF(AND(A60&gt;=Param.FireStartjahr,AP60&gt;0),MIN(N60*R60,AP60),0)</f>
        <v>0</v>
      </c>
      <c r="BD60" s="5">
        <f aca="1">Param.FestgeldZinssatz</f>
        <v>0.02</v>
      </c>
      <c r="BE60" s="40">
        <f>(AP60+AQ60-BC60)*BD60</f>
        <v>0</v>
      </c>
      <c r="BF60" s="40">
        <f aca="1">IF(BE60&gt;Param.SparerPauschbetrag,Param.SparerPauschbetrag,BE60)</f>
        <v>0</v>
      </c>
      <c r="BG60" s="40">
        <f>BE60-BF60</f>
        <v>0</v>
      </c>
      <c r="BH60" s="40">
        <f aca="1">BG60*Param.KapSt</f>
        <v>0</v>
      </c>
      <c r="BI60" s="40">
        <f>BE60-BH60</f>
        <v>0</v>
      </c>
      <c r="BJ60" s="63">
        <f>AP60+SUM(AQ60:BB60)-BC60+BI60</f>
        <v>0</v>
      </c>
      <c r="BK60" s="40">
        <f>AL60+BJ60</f>
        <v>-16160.3142266369996</v>
      </c>
      <c r="BL60" s="40">
        <f aca="1">BK60/(1+Param.Inflationsrate)^(A60-Param.Startjahr)</f>
        <v>-4155.63317402487883</v>
      </c>
      <c r="BM60" s="52">
        <f>IF(BK60&lt;N60,A60,"")</f>
        <v>2081</v>
      </c>
      <c r="BN60" s="40">
        <f>AH60+BC60</f>
        <v>0</v>
      </c>
      <c r="BO60" s="40">
        <f>SUM(AR60:BB60)</f>
        <v>0</v>
      </c>
      <c r="BP60" s="40">
        <f>BN60+(-1*BO60)</f>
        <v>0</v>
      </c>
      <c r="BQ60" s="40">
        <f>AI60+BH60</f>
        <v>0</v>
      </c>
      <c r="BR60" s="5">
        <f>IF(BK60&gt;0,BP60/BK60,0)</f>
        <v>0</v>
      </c>
    </row>
    <row r="61" spans="1:70">
      <c r="A61">
        <f>A60+1</f>
        <v>2082</v>
      </c>
      <c r="B61">
        <f>B5+(57-1)</f>
        <v>86</v>
      </c>
      <c r="C61" s="10">
        <f aca="1">IF(A61&lt;Param.FireStartjahr,0,Param.EntnahmeBetragStart*(1+Param.Inflationsrate)^(A61-Param.Startjahr))</f>
        <v>119579.770797669597</v>
      </c>
      <c r="D61" s="40">
        <f aca="1">IF(OR($A61&lt;Param.SonstigRegelmJahrBeginn1,$A61&gt;Param.SonstigRegelmJahrEnd1),0,Param.SonstigRegelmBetragJaehrl1*(1+Param.SonstigRegelmSteig1)^(A61-Param.SonstigRegelmJahrBeginn1))</f>
        <v>21745.9611079835413</v>
      </c>
      <c r="E61" s="40">
        <f aca="1">IF(OR($A61&lt;Param.SonstigRegelmJahrBeginn2,$A61&gt;Param.SonstigRegelmJahrEnd2),0,Param.SonstigRegelmBetragJaehrl2*(1+Param.SonstigRegelmSteig2)^($A61-Param.SonstigRegelmJahrBeginn2))</f>
        <v>0</v>
      </c>
      <c r="F61" s="40">
        <f aca="1">IF(OR($A61&lt;Param.SonstigRegelmJahrBeginn3,$A61&gt;Param.SonstigRegelmJahrEnd3),0,Param.SonstigRegelmBetragJaehrl3*(1+Param.SonstigRegelmSteig3)^($A61-Param.SonstigRegelmJahrBeginn3))</f>
        <v>0</v>
      </c>
      <c r="G61" s="40">
        <f aca="1">IF(OR($A61&lt;Param.SonstigRegelmJahrBeginn4,$A61&gt;Param.SonstigRegelmJahrEnd4),0,Param.SonstigRegelmBetragJaehrl4*(1+Param.SonstigRegelmSteig4)^($A61-Param.SonstigRegelmJahrBeginn4))</f>
        <v>0</v>
      </c>
      <c r="H61" s="40">
        <f aca="1">IF(OR($A61&lt;Param.SonstigRegelmJahrBeginn5,$A61&gt;Param.SonstigRegelmJahrEnd5),0,Param.SonstigRegelmBetragJaehrl5*(1+Param.SonstigRegelmSteig5)^($A61-Param.SonstigRegelmJahrBeginn5))</f>
        <v>0</v>
      </c>
      <c r="I61" s="40">
        <f aca="1">IF(OR($A61&lt;Param.SonstigRegelmJahrBeginn6,$A61&gt;Param.SonstigRegelmJahrEnd6),0,Param.SonstigRegelmBetragJaehrl6*(1+Param.SonstigRegelmSteig6)^($A61-Param.SonstigRegelmJahrBeginn6))</f>
        <v>0</v>
      </c>
      <c r="J61" s="40">
        <f aca="1">IF(OR($A61&lt;Param.SonstigRegelmJahrBeginn7,$A61&gt;Param.SonstigRegelmJahrEnd7),0,Param.SonstigRegelmBetragJaehrl7*(1+Param.SonstigRegelmSteig7)^($A61-Param.SonstigRegelmJahrBeginn7))</f>
        <v>0</v>
      </c>
      <c r="K61" s="40">
        <f aca="1">IF(OR($A61&lt;Param.SonstigRegelmJahrBeginn8,$A61&gt;Param.SonstigRegelmJahrEnd8),0,Param.SonstigRegelmBetragJaehrl8*(1+Param.SonstigRegelmSteig8)^($A61-Param.SonstigRegelmJahrBeginn8))</f>
        <v>0</v>
      </c>
      <c r="L61" s="40">
        <f aca="1">IF(OR($A61&lt;Param.SonstigRegelmJahrBeginn9,$A61&gt;Param.SonstigRegelmJahrEnd9),0,Param.SonstigRegelmBetragJaehrl9*(1+Param.SonstigRegelmSteig9)^($A61-Param.SonstigRegelmJahrBeginn9))</f>
        <v>0</v>
      </c>
      <c r="M61" s="40">
        <f aca="1">IF(OR($A61&lt;Param.SonstigRegelmJahrBeginn10,$A61&gt;Param.SonstigRegelmJahrEnd10),0,Param.SonstigRegelmBetragJaehrl10*(1+Param.SonstigRegelmSteig10)^($A61-Param.SonstigRegelmJahrBeginn10))</f>
        <v>0</v>
      </c>
      <c r="N61" s="10">
        <f>MAX(0,C61-SUM(D61:M61))</f>
        <v>97833.8096896865027</v>
      </c>
      <c r="O61" s="10">
        <f>IF(N61&lt;=0,SUM(D61:M61)-C61,0)</f>
        <v>0</v>
      </c>
      <c r="P61" s="10">
        <f>S61+AP61</f>
        <v>-16160.3142266369996</v>
      </c>
      <c r="Q61" s="11">
        <f>IF(P61&gt;0,S61/P61,0)</f>
        <v>0</v>
      </c>
      <c r="R61" s="11">
        <f>IF(P61&gt;0,AP61/P61,0)</f>
        <v>0</v>
      </c>
      <c r="S61" s="10">
        <f>AL60</f>
        <v>-16160.3142266370269</v>
      </c>
      <c r="T61" s="40">
        <f>AM60</f>
        <v>-15605.1862791036001</v>
      </c>
      <c r="U61" s="40">
        <f aca="1">IF(A61&lt;Param.FireStartjahr,Param.SparrateDepotMonatl*12*(1+Param.SparrateDynamikJaehrl)^($A61-Param.Startjahr),0)</f>
        <v>0</v>
      </c>
      <c r="V61" s="40">
        <f aca="1">IF(AND(Param.SonstigEinmaligKonto1="Depot",$A61=Param.SonstigEinmaligJahr1),Param.SonstigEinmaligBetrag1,0)</f>
        <v>0</v>
      </c>
      <c r="W61" s="40">
        <f aca="1">IF(AND(Param.SonstigEinmaligKonto2="Depot",$A61=Param.SonstigEinmaligJahr2),Param.SonstigEinmaligBetrag2,0)</f>
        <v>0</v>
      </c>
      <c r="X61" s="40">
        <f aca="1">IF(AND(Param.SonstigEinmaligKonto3="Depot",$A61=Param.SonstigEinmaligJahr3),Param.SonstigEinmaligBetrag3,0)</f>
        <v>0</v>
      </c>
      <c r="Y61" s="40">
        <f aca="1">IF(AND(Param.SonstigEinmaligKonto4="Depot",$A61=Param.SonstigEinmaligJahr4),Param.SonstigEinmaligBetrag4,0)</f>
        <v>0</v>
      </c>
      <c r="Z61" s="40">
        <f aca="1">IF(AND(Param.SonstigEinmaligKonto5="Depot",$A61=Param.SonstigEinmaligJahr5),Param.SonstigEinmaligBetrag5,0)</f>
        <v>0</v>
      </c>
      <c r="AA61" s="40">
        <f aca="1">IF(AND(Param.SonstigEinmaligKonto6="Depot",$A61=Param.SonstigEinmaligJahr6),Param.SonstigEinmaligBetrag6,0)</f>
        <v>0</v>
      </c>
      <c r="AB61" s="40">
        <f aca="1">IF(AND(Param.SonstigEinmaligKonto7="Depot",$A61=Param.SonstigEinmaligJahr7),Param.SonstigEinmaligBetrag7,0)</f>
        <v>0</v>
      </c>
      <c r="AC61" s="40">
        <f aca="1">IF(AND(Param.SonstigEinmaligKonto8="Depot",$A61=Param.SonstigEinmaligJahr8),Param.SonstigEinmaligBetrag8,0)</f>
        <v>0</v>
      </c>
      <c r="AD61" s="40">
        <f aca="1">IF(AND(Param.SonstigEinmaligKonto9="Depot",$A61=Param.SonstigEinmaligJahr9),Param.SonstigEinmaligBetrag9,0)</f>
        <v>0</v>
      </c>
      <c r="AE61" s="40">
        <f aca="1">IF(AND(Param.SonstigEinmaligKonto10="Depot",$A61=Param.SonstigEinmaligJahr10),Param.SonstigEinmaligBetrag10,0)</f>
        <v>0</v>
      </c>
      <c r="AF61" s="40">
        <f aca="1">Param.SparerPauschbetrag-BF61</f>
        <v>1000</v>
      </c>
      <c r="AG61" s="40">
        <f aca="1">IF(AND(A61&gt;=Param.FireStartjahr,S61&gt;0),MIN(N61*Q61,S61),0)</f>
        <v>0</v>
      </c>
      <c r="AH61" s="40">
        <f aca="1">IF(AG61&lt;=0,0,IF(S61&lt;=0,0,AG61/(1-MAX(0,((T61/S61)*(1-Param.Teilfreistellung)-MIN(AF61,AG61)/AG61)*Param.KapSt))))</f>
        <v>0</v>
      </c>
      <c r="AI61" s="40">
        <f>AH61-AG61</f>
        <v>0</v>
      </c>
      <c r="AJ61" s="40">
        <f>T61-AH61*(T61/S61)</f>
        <v>-15605.1862791036001</v>
      </c>
      <c r="AK61" s="40">
        <f>S61-AH61</f>
        <v>-16160.3142266369996</v>
      </c>
      <c r="AL61" s="40">
        <f>FV(AO61,12,-(U61/12),-AK61,0)</f>
        <v>-17129.9330802345867</v>
      </c>
      <c r="AM61" s="40">
        <f>AJ61+AL61-AK61-U61</f>
        <v>-16574.8051327011999</v>
      </c>
      <c r="AN61" s="5">
        <f>AM61/AL61</f>
        <v>0.967593104717149366</v>
      </c>
      <c r="AO61" s="5">
        <f aca="1">(1+IF(AND(A61&gt;=Param.DepotRenditeSpezBeginn1,A61&lt;=Param.DepotRenditeSpezEnde1),Param.DepotRenditeSpezProz1,IF(AND(A61&gt;=Param.DepotRenditeSpezBeginn2,A61&lt;=Param.DepotRenditeSpezEnde2),Param.DepotRenditeSpezProz2,IF(AND(A61&gt;=Param.DepotRenditeSpezBeginn3,A61&lt;=Param.DepotRenditeSpezEnde3),Param.DepotRenditeSpezProz3,IF(AND(A61&gt;=Param.DepotRenditeSpezBeginn4,A61&lt;=Param.DepotRenditeSpezEnde4),Param.DepotRenditeSpezProz4,IF(AND(A61&gt;=Param.DepotRenditeSpezBeginn5,A61&lt;=Param.DepotRenditeSpezEnde5),Param.DepotRenditeSpezProz5,Param.DepotRenditeDefault))))))^(1/12)-1</f>
        <v>0.00486755056533993979</v>
      </c>
      <c r="AP61" s="40">
        <f>BJ60</f>
        <v>0</v>
      </c>
      <c r="AQ61" s="40">
        <f aca="1">IF(A61&lt;Param.FireStartjahr,Param.SparrateFestgeldMonatl*12*(1+Param.SparrateDynamikJaehrl)^($A61-Param.Startjahr),0)</f>
        <v>0</v>
      </c>
      <c r="AR61" s="40">
        <f>O61</f>
        <v>0</v>
      </c>
      <c r="AS61" s="40">
        <f aca="1">IF(AND(Param.SonstigEinmaligKonto1="Festgeld",$A61=Param.SonstigEinmaligJahr1),Param.SonstigEinmaligBetrag1,0)</f>
        <v>0</v>
      </c>
      <c r="AT61" s="40">
        <f aca="1">IF(AND(Param.SonstigEinmaligKonto2="Festgeld",$A61=Param.SonstigEinmaligJahr2),Param.SonstigEinmaligBetrag2,0)</f>
        <v>0</v>
      </c>
      <c r="AU61" s="40">
        <f aca="1">IF(AND(Param.SonstigEinmaligKonto3="Festgeld",$A61=Param.SonstigEinmaligJahr3),Param.SonstigEinmaligBetrag3,0)</f>
        <v>0</v>
      </c>
      <c r="AV61" s="40">
        <f aca="1">IF(AND(Param.SonstigEinmaligKonto4="Festgeld",$A61=Param.SonstigEinmaligJahr4),Param.SonstigEinmaligBetrag4,0)</f>
        <v>0</v>
      </c>
      <c r="AW61" s="40">
        <f aca="1">IF(AND(Param.SonstigEinmaligKonto5="Festgeld",$A61=Param.SonstigEinmaligJahr5),Param.SonstigEinmaligBetrag5,0)</f>
        <v>0</v>
      </c>
      <c r="AX61" s="40">
        <f aca="1">IF(AND(Param.SonstigEinmaligKonto6="Festgeld",$A61=Param.SonstigEinmaligJahr6),Param.SonstigEinmaligBetrag6,0)</f>
        <v>0</v>
      </c>
      <c r="AY61" s="40">
        <f aca="1">IF(AND(Param.SonstigEinmaligKonto7="Festgeld",$A61=Param.SonstigEinmaligJahr7),Param.SonstigEinmaligBetrag7,0)</f>
        <v>0</v>
      </c>
      <c r="AZ61" s="40">
        <f aca="1">IF(AND(Param.SonstigEinmaligKonto8="Festgeld",$A61=Param.SonstigEinmaligJahr8),Param.SonstigEinmaligBetrag8,0)</f>
        <v>0</v>
      </c>
      <c r="BA61" s="40">
        <f aca="1">IF(AND(Param.SonstigEinmaligKonto9="Festgeld",$A61=Param.SonstigEinmaligJahr9),Param.SonstigEinmaligBetrag9,0)</f>
        <v>0</v>
      </c>
      <c r="BB61" s="40">
        <f aca="1">IF(AND(Param.SonstigEinmaligKonto10="Festgeld",$A61=Param.SonstigEinmaligJahr10),Param.SonstigEinmaligBetrag10,0)</f>
        <v>0</v>
      </c>
      <c r="BC61" s="40">
        <f aca="1">IF(AND(A61&gt;=Param.FireStartjahr,AP61&gt;0),MIN(N61*R61,AP61),0)</f>
        <v>0</v>
      </c>
      <c r="BD61" s="5">
        <f aca="1">Param.FestgeldZinssatz</f>
        <v>0.02</v>
      </c>
      <c r="BE61" s="40">
        <f>(AP61+AQ61-BC61)*BD61</f>
        <v>0</v>
      </c>
      <c r="BF61" s="40">
        <f aca="1">IF(BE61&gt;Param.SparerPauschbetrag,Param.SparerPauschbetrag,BE61)</f>
        <v>0</v>
      </c>
      <c r="BG61" s="40">
        <f>BE61-BF61</f>
        <v>0</v>
      </c>
      <c r="BH61" s="40">
        <f aca="1">BG61*Param.KapSt</f>
        <v>0</v>
      </c>
      <c r="BI61" s="40">
        <f>BE61-BH61</f>
        <v>0</v>
      </c>
      <c r="BJ61" s="63">
        <f>AP61+SUM(AQ61:BB61)-BC61+BI61</f>
        <v>0</v>
      </c>
      <c r="BK61" s="40">
        <f>AL61+BJ61</f>
        <v>-17129.9330802346012</v>
      </c>
      <c r="BL61" s="40">
        <f aca="1">BK61/(1+Param.Inflationsrate)^(A61-Param.Startjahr)</f>
        <v>-4297.53284338167487</v>
      </c>
      <c r="BM61" s="52">
        <f>IF(BK61&lt;N61,A61,"")</f>
        <v>2082</v>
      </c>
      <c r="BN61" s="40">
        <f>AH61+BC61</f>
        <v>0</v>
      </c>
      <c r="BO61" s="40">
        <f>SUM(AR61:BB61)</f>
        <v>0</v>
      </c>
      <c r="BP61" s="40">
        <f>BN61+(-1*BO61)</f>
        <v>0</v>
      </c>
      <c r="BQ61" s="40">
        <f>AI61+BH61</f>
        <v>0</v>
      </c>
      <c r="BR61" s="5">
        <f>IF(BK61&gt;0,BP61/BK61,0)</f>
        <v>0</v>
      </c>
    </row>
    <row r="62" spans="1:70">
      <c r="A62">
        <f>A61+1</f>
        <v>2083</v>
      </c>
      <c r="B62">
        <f>B5+(58-1)</f>
        <v>87</v>
      </c>
      <c r="C62" s="10">
        <f aca="1">IF(A62&lt;Param.FireStartjahr,0,Param.EntnahmeBetragStart*(1+Param.Inflationsrate)^(A62-Param.Startjahr))</f>
        <v>122569.265067611399</v>
      </c>
      <c r="D62" s="40">
        <f aca="1">IF(OR($A62&lt;Param.SonstigRegelmJahrBeginn1,$A62&gt;Param.SonstigRegelmJahrEnd1),0,Param.SonstigRegelmBetragJaehrl1*(1+Param.SonstigRegelmSteig1)^(A62-Param.SonstigRegelmJahrBeginn1))</f>
        <v>21963.4207190634588</v>
      </c>
      <c r="E62" s="40">
        <f aca="1">IF(OR($A62&lt;Param.SonstigRegelmJahrBeginn2,$A62&gt;Param.SonstigRegelmJahrEnd2),0,Param.SonstigRegelmBetragJaehrl2*(1+Param.SonstigRegelmSteig2)^($A62-Param.SonstigRegelmJahrBeginn2))</f>
        <v>0</v>
      </c>
      <c r="F62" s="40">
        <f aca="1">IF(OR($A62&lt;Param.SonstigRegelmJahrBeginn3,$A62&gt;Param.SonstigRegelmJahrEnd3),0,Param.SonstigRegelmBetragJaehrl3*(1+Param.SonstigRegelmSteig3)^($A62-Param.SonstigRegelmJahrBeginn3))</f>
        <v>0</v>
      </c>
      <c r="G62" s="40">
        <f aca="1">IF(OR($A62&lt;Param.SonstigRegelmJahrBeginn4,$A62&gt;Param.SonstigRegelmJahrEnd4),0,Param.SonstigRegelmBetragJaehrl4*(1+Param.SonstigRegelmSteig4)^($A62-Param.SonstigRegelmJahrBeginn4))</f>
        <v>0</v>
      </c>
      <c r="H62" s="40">
        <f aca="1">IF(OR($A62&lt;Param.SonstigRegelmJahrBeginn5,$A62&gt;Param.SonstigRegelmJahrEnd5),0,Param.SonstigRegelmBetragJaehrl5*(1+Param.SonstigRegelmSteig5)^($A62-Param.SonstigRegelmJahrBeginn5))</f>
        <v>0</v>
      </c>
      <c r="I62" s="40">
        <f aca="1">IF(OR($A62&lt;Param.SonstigRegelmJahrBeginn6,$A62&gt;Param.SonstigRegelmJahrEnd6),0,Param.SonstigRegelmBetragJaehrl6*(1+Param.SonstigRegelmSteig6)^($A62-Param.SonstigRegelmJahrBeginn6))</f>
        <v>0</v>
      </c>
      <c r="J62" s="40">
        <f aca="1">IF(OR($A62&lt;Param.SonstigRegelmJahrBeginn7,$A62&gt;Param.SonstigRegelmJahrEnd7),0,Param.SonstigRegelmBetragJaehrl7*(1+Param.SonstigRegelmSteig7)^($A62-Param.SonstigRegelmJahrBeginn7))</f>
        <v>0</v>
      </c>
      <c r="K62" s="40">
        <f aca="1">IF(OR($A62&lt;Param.SonstigRegelmJahrBeginn8,$A62&gt;Param.SonstigRegelmJahrEnd8),0,Param.SonstigRegelmBetragJaehrl8*(1+Param.SonstigRegelmSteig8)^($A62-Param.SonstigRegelmJahrBeginn8))</f>
        <v>0</v>
      </c>
      <c r="L62" s="40">
        <f aca="1">IF(OR($A62&lt;Param.SonstigRegelmJahrBeginn9,$A62&gt;Param.SonstigRegelmJahrEnd9),0,Param.SonstigRegelmBetragJaehrl9*(1+Param.SonstigRegelmSteig9)^($A62-Param.SonstigRegelmJahrBeginn9))</f>
        <v>0</v>
      </c>
      <c r="M62" s="40">
        <f aca="1">IF(OR($A62&lt;Param.SonstigRegelmJahrBeginn10,$A62&gt;Param.SonstigRegelmJahrEnd10),0,Param.SonstigRegelmBetragJaehrl10*(1+Param.SonstigRegelmSteig10)^($A62-Param.SonstigRegelmJahrBeginn10))</f>
        <v>0</v>
      </c>
      <c r="N62" s="10">
        <f>MAX(0,C62-SUM(D62:M62))</f>
        <v>100605.844348547515</v>
      </c>
      <c r="O62" s="10">
        <f>IF(N62&lt;=0,SUM(D62:M62)-C62,0)</f>
        <v>0</v>
      </c>
      <c r="P62" s="10">
        <f>S62+AP62</f>
        <v>-17129.9330802346012</v>
      </c>
      <c r="Q62" s="11">
        <f>IF(P62&gt;0,S62/P62,0)</f>
        <v>0</v>
      </c>
      <c r="R62" s="11">
        <f>IF(P62&gt;0,AP62/P62,0)</f>
        <v>0</v>
      </c>
      <c r="S62" s="10">
        <f>AL61</f>
        <v>-17129.9330802345867</v>
      </c>
      <c r="T62" s="40">
        <f>AM61</f>
        <v>-16574.8051327011999</v>
      </c>
      <c r="U62" s="40">
        <f aca="1">IF(A62&lt;Param.FireStartjahr,Param.SparrateDepotMonatl*12*(1+Param.SparrateDynamikJaehrl)^($A62-Param.Startjahr),0)</f>
        <v>0</v>
      </c>
      <c r="V62" s="40">
        <f aca="1">IF(AND(Param.SonstigEinmaligKonto1="Depot",$A62=Param.SonstigEinmaligJahr1),Param.SonstigEinmaligBetrag1,0)</f>
        <v>0</v>
      </c>
      <c r="W62" s="40">
        <f aca="1">IF(AND(Param.SonstigEinmaligKonto2="Depot",$A62=Param.SonstigEinmaligJahr2),Param.SonstigEinmaligBetrag2,0)</f>
        <v>0</v>
      </c>
      <c r="X62" s="40">
        <f aca="1">IF(AND(Param.SonstigEinmaligKonto3="Depot",$A62=Param.SonstigEinmaligJahr3),Param.SonstigEinmaligBetrag3,0)</f>
        <v>0</v>
      </c>
      <c r="Y62" s="40">
        <f aca="1">IF(AND(Param.SonstigEinmaligKonto4="Depot",$A62=Param.SonstigEinmaligJahr4),Param.SonstigEinmaligBetrag4,0)</f>
        <v>0</v>
      </c>
      <c r="Z62" s="40">
        <f aca="1">IF(AND(Param.SonstigEinmaligKonto5="Depot",$A62=Param.SonstigEinmaligJahr5),Param.SonstigEinmaligBetrag5,0)</f>
        <v>0</v>
      </c>
      <c r="AA62" s="40">
        <f aca="1">IF(AND(Param.SonstigEinmaligKonto6="Depot",$A62=Param.SonstigEinmaligJahr6),Param.SonstigEinmaligBetrag6,0)</f>
        <v>0</v>
      </c>
      <c r="AB62" s="40">
        <f aca="1">IF(AND(Param.SonstigEinmaligKonto7="Depot",$A62=Param.SonstigEinmaligJahr7),Param.SonstigEinmaligBetrag7,0)</f>
        <v>0</v>
      </c>
      <c r="AC62" s="40">
        <f aca="1">IF(AND(Param.SonstigEinmaligKonto8="Depot",$A62=Param.SonstigEinmaligJahr8),Param.SonstigEinmaligBetrag8,0)</f>
        <v>0</v>
      </c>
      <c r="AD62" s="40">
        <f aca="1">IF(AND(Param.SonstigEinmaligKonto9="Depot",$A62=Param.SonstigEinmaligJahr9),Param.SonstigEinmaligBetrag9,0)</f>
        <v>0</v>
      </c>
      <c r="AE62" s="40">
        <f aca="1">IF(AND(Param.SonstigEinmaligKonto10="Depot",$A62=Param.SonstigEinmaligJahr10),Param.SonstigEinmaligBetrag10,0)</f>
        <v>0</v>
      </c>
      <c r="AF62" s="40">
        <f aca="1">Param.SparerPauschbetrag-BF62</f>
        <v>1000</v>
      </c>
      <c r="AG62" s="40">
        <f aca="1">IF(AND(A62&gt;=Param.FireStartjahr,S62&gt;0),MIN(N62*Q62,S62),0)</f>
        <v>0</v>
      </c>
      <c r="AH62" s="40">
        <f aca="1">IF(AG62&lt;=0,0,IF(S62&lt;=0,0,AG62/(1-MAX(0,((T62/S62)*(1-Param.Teilfreistellung)-MIN(AF62,AG62)/AG62)*Param.KapSt))))</f>
        <v>0</v>
      </c>
      <c r="AI62" s="40">
        <f>AH62-AG62</f>
        <v>0</v>
      </c>
      <c r="AJ62" s="40">
        <f>T62-AH62*(T62/S62)</f>
        <v>-16574.8051327011999</v>
      </c>
      <c r="AK62" s="40">
        <f>S62-AH62</f>
        <v>-17129.9330802346012</v>
      </c>
      <c r="AL62" s="40">
        <f>FV(AO62,12,-(U62/12),-AK62,0)</f>
        <v>-18157.7290650480063</v>
      </c>
      <c r="AM62" s="40">
        <f>AJ62+AL62-AK62-U62</f>
        <v>-17602.6011175146014</v>
      </c>
      <c r="AN62" s="5">
        <f>AM62/AL62</f>
        <v>0.969427457280328575</v>
      </c>
      <c r="AO62" s="5">
        <f aca="1">(1+IF(AND(A62&gt;=Param.DepotRenditeSpezBeginn1,A62&lt;=Param.DepotRenditeSpezEnde1),Param.DepotRenditeSpezProz1,IF(AND(A62&gt;=Param.DepotRenditeSpezBeginn2,A62&lt;=Param.DepotRenditeSpezEnde2),Param.DepotRenditeSpezProz2,IF(AND(A62&gt;=Param.DepotRenditeSpezBeginn3,A62&lt;=Param.DepotRenditeSpezEnde3),Param.DepotRenditeSpezProz3,IF(AND(A62&gt;=Param.DepotRenditeSpezBeginn4,A62&lt;=Param.DepotRenditeSpezEnde4),Param.DepotRenditeSpezProz4,IF(AND(A62&gt;=Param.DepotRenditeSpezBeginn5,A62&lt;=Param.DepotRenditeSpezEnde5),Param.DepotRenditeSpezProz5,Param.DepotRenditeDefault))))))^(1/12)-1</f>
        <v>0.00486755056533993979</v>
      </c>
      <c r="AP62" s="40">
        <f>BJ61</f>
        <v>0</v>
      </c>
      <c r="AQ62" s="40">
        <f aca="1">IF(A62&lt;Param.FireStartjahr,Param.SparrateFestgeldMonatl*12*(1+Param.SparrateDynamikJaehrl)^($A62-Param.Startjahr),0)</f>
        <v>0</v>
      </c>
      <c r="AR62" s="40">
        <f>O62</f>
        <v>0</v>
      </c>
      <c r="AS62" s="40">
        <f aca="1">IF(AND(Param.SonstigEinmaligKonto1="Festgeld",$A62=Param.SonstigEinmaligJahr1),Param.SonstigEinmaligBetrag1,0)</f>
        <v>0</v>
      </c>
      <c r="AT62" s="40">
        <f aca="1">IF(AND(Param.SonstigEinmaligKonto2="Festgeld",$A62=Param.SonstigEinmaligJahr2),Param.SonstigEinmaligBetrag2,0)</f>
        <v>0</v>
      </c>
      <c r="AU62" s="40">
        <f aca="1">IF(AND(Param.SonstigEinmaligKonto3="Festgeld",$A62=Param.SonstigEinmaligJahr3),Param.SonstigEinmaligBetrag3,0)</f>
        <v>0</v>
      </c>
      <c r="AV62" s="40">
        <f aca="1">IF(AND(Param.SonstigEinmaligKonto4="Festgeld",$A62=Param.SonstigEinmaligJahr4),Param.SonstigEinmaligBetrag4,0)</f>
        <v>0</v>
      </c>
      <c r="AW62" s="40">
        <f aca="1">IF(AND(Param.SonstigEinmaligKonto5="Festgeld",$A62=Param.SonstigEinmaligJahr5),Param.SonstigEinmaligBetrag5,0)</f>
        <v>0</v>
      </c>
      <c r="AX62" s="40">
        <f aca="1">IF(AND(Param.SonstigEinmaligKonto6="Festgeld",$A62=Param.SonstigEinmaligJahr6),Param.SonstigEinmaligBetrag6,0)</f>
        <v>0</v>
      </c>
      <c r="AY62" s="40">
        <f aca="1">IF(AND(Param.SonstigEinmaligKonto7="Festgeld",$A62=Param.SonstigEinmaligJahr7),Param.SonstigEinmaligBetrag7,0)</f>
        <v>0</v>
      </c>
      <c r="AZ62" s="40">
        <f aca="1">IF(AND(Param.SonstigEinmaligKonto8="Festgeld",$A62=Param.SonstigEinmaligJahr8),Param.SonstigEinmaligBetrag8,0)</f>
        <v>0</v>
      </c>
      <c r="BA62" s="40">
        <f aca="1">IF(AND(Param.SonstigEinmaligKonto9="Festgeld",$A62=Param.SonstigEinmaligJahr9),Param.SonstigEinmaligBetrag9,0)</f>
        <v>0</v>
      </c>
      <c r="BB62" s="40">
        <f aca="1">IF(AND(Param.SonstigEinmaligKonto10="Festgeld",$A62=Param.SonstigEinmaligJahr10),Param.SonstigEinmaligBetrag10,0)</f>
        <v>0</v>
      </c>
      <c r="BC62" s="40">
        <f aca="1">IF(AND(A62&gt;=Param.FireStartjahr,AP62&gt;0),MIN(N62*R62,AP62),0)</f>
        <v>0</v>
      </c>
      <c r="BD62" s="5">
        <f aca="1">Param.FestgeldZinssatz</f>
        <v>0.02</v>
      </c>
      <c r="BE62" s="40">
        <f>(AP62+AQ62-BC62)*BD62</f>
        <v>0</v>
      </c>
      <c r="BF62" s="40">
        <f aca="1">IF(BE62&gt;Param.SparerPauschbetrag,Param.SparerPauschbetrag,BE62)</f>
        <v>0</v>
      </c>
      <c r="BG62" s="40">
        <f>BE62-BF62</f>
        <v>0</v>
      </c>
      <c r="BH62" s="40">
        <f aca="1">BG62*Param.KapSt</f>
        <v>0</v>
      </c>
      <c r="BI62" s="40">
        <f>BE62-BH62</f>
        <v>0</v>
      </c>
      <c r="BJ62" s="63">
        <f>AP62+SUM(AQ62:BB62)-BC62+BI62</f>
        <v>0</v>
      </c>
      <c r="BK62" s="40">
        <f>AL62+BJ62</f>
        <v>-18157.729065047999</v>
      </c>
      <c r="BL62" s="40">
        <f aca="1">BK62/(1+Param.Inflationsrate)^(A62-Param.Startjahr)</f>
        <v>-4444.27786730185653</v>
      </c>
      <c r="BM62" s="52">
        <f>IF(BK62&lt;N62,A62,"")</f>
        <v>2083</v>
      </c>
      <c r="BN62" s="40">
        <f>AH62+BC62</f>
        <v>0</v>
      </c>
      <c r="BO62" s="40">
        <f>SUM(AR62:BB62)</f>
        <v>0</v>
      </c>
      <c r="BP62" s="40">
        <f>BN62+(-1*BO62)</f>
        <v>0</v>
      </c>
      <c r="BQ62" s="40">
        <f>AI62+BH62</f>
        <v>0</v>
      </c>
      <c r="BR62" s="5">
        <f>IF(BK62&gt;0,BP62/BK62,0)</f>
        <v>0</v>
      </c>
    </row>
    <row r="63" spans="1:70">
      <c r="A63">
        <f>A62+1</f>
        <v>2084</v>
      </c>
      <c r="B63">
        <f>B5+(59-1)</f>
        <v>88</v>
      </c>
      <c r="C63" s="10">
        <f aca="1">IF(A63&lt;Param.FireStartjahr,0,Param.EntnahmeBetragStart*(1+Param.Inflationsrate)^(A63-Param.Startjahr))</f>
        <v>125633.496694301692</v>
      </c>
      <c r="D63" s="40">
        <f aca="1">IF(OR($A63&lt;Param.SonstigRegelmJahrBeginn1,$A63&gt;Param.SonstigRegelmJahrEnd1),0,Param.SonstigRegelmBetragJaehrl1*(1+Param.SonstigRegelmSteig1)^(A63-Param.SonstigRegelmJahrBeginn1))</f>
        <v>22183.054926254099</v>
      </c>
      <c r="E63" s="40">
        <f aca="1">IF(OR($A63&lt;Param.SonstigRegelmJahrBeginn2,$A63&gt;Param.SonstigRegelmJahrEnd2),0,Param.SonstigRegelmBetragJaehrl2*(1+Param.SonstigRegelmSteig2)^($A63-Param.SonstigRegelmJahrBeginn2))</f>
        <v>0</v>
      </c>
      <c r="F63" s="40">
        <f aca="1">IF(OR($A63&lt;Param.SonstigRegelmJahrBeginn3,$A63&gt;Param.SonstigRegelmJahrEnd3),0,Param.SonstigRegelmBetragJaehrl3*(1+Param.SonstigRegelmSteig3)^($A63-Param.SonstigRegelmJahrBeginn3))</f>
        <v>0</v>
      </c>
      <c r="G63" s="40">
        <f aca="1">IF(OR($A63&lt;Param.SonstigRegelmJahrBeginn4,$A63&gt;Param.SonstigRegelmJahrEnd4),0,Param.SonstigRegelmBetragJaehrl4*(1+Param.SonstigRegelmSteig4)^($A63-Param.SonstigRegelmJahrBeginn4))</f>
        <v>0</v>
      </c>
      <c r="H63" s="40">
        <f aca="1">IF(OR($A63&lt;Param.SonstigRegelmJahrBeginn5,$A63&gt;Param.SonstigRegelmJahrEnd5),0,Param.SonstigRegelmBetragJaehrl5*(1+Param.SonstigRegelmSteig5)^($A63-Param.SonstigRegelmJahrBeginn5))</f>
        <v>0</v>
      </c>
      <c r="I63" s="40">
        <f aca="1">IF(OR($A63&lt;Param.SonstigRegelmJahrBeginn6,$A63&gt;Param.SonstigRegelmJahrEnd6),0,Param.SonstigRegelmBetragJaehrl6*(1+Param.SonstigRegelmSteig6)^($A63-Param.SonstigRegelmJahrBeginn6))</f>
        <v>0</v>
      </c>
      <c r="J63" s="40">
        <f aca="1">IF(OR($A63&lt;Param.SonstigRegelmJahrBeginn7,$A63&gt;Param.SonstigRegelmJahrEnd7),0,Param.SonstigRegelmBetragJaehrl7*(1+Param.SonstigRegelmSteig7)^($A63-Param.SonstigRegelmJahrBeginn7))</f>
        <v>0</v>
      </c>
      <c r="K63" s="40">
        <f aca="1">IF(OR($A63&lt;Param.SonstigRegelmJahrBeginn8,$A63&gt;Param.SonstigRegelmJahrEnd8),0,Param.SonstigRegelmBetragJaehrl8*(1+Param.SonstigRegelmSteig8)^($A63-Param.SonstigRegelmJahrBeginn8))</f>
        <v>0</v>
      </c>
      <c r="L63" s="40">
        <f aca="1">IF(OR($A63&lt;Param.SonstigRegelmJahrBeginn9,$A63&gt;Param.SonstigRegelmJahrEnd9),0,Param.SonstigRegelmBetragJaehrl9*(1+Param.SonstigRegelmSteig9)^($A63-Param.SonstigRegelmJahrBeginn9))</f>
        <v>0</v>
      </c>
      <c r="M63" s="40">
        <f aca="1">IF(OR($A63&lt;Param.SonstigRegelmJahrBeginn10,$A63&gt;Param.SonstigRegelmJahrEnd10),0,Param.SonstigRegelmBetragJaehrl10*(1+Param.SonstigRegelmSteig10)^($A63-Param.SonstigRegelmJahrBeginn10))</f>
        <v>0</v>
      </c>
      <c r="N63" s="10">
        <f>MAX(0,C63-SUM(D63:M63))</f>
        <v>103450.441768047895</v>
      </c>
      <c r="O63" s="10">
        <f>IF(N63&lt;=0,SUM(D63:M63)-C63,0)</f>
        <v>0</v>
      </c>
      <c r="P63" s="10">
        <f>S63+AP63</f>
        <v>-18157.729065047999</v>
      </c>
      <c r="Q63" s="11">
        <f>IF(P63&gt;0,S63/P63,0)</f>
        <v>0</v>
      </c>
      <c r="R63" s="11">
        <f>IF(P63&gt;0,AP63/P63,0)</f>
        <v>0</v>
      </c>
      <c r="S63" s="10">
        <f>AL62</f>
        <v>-18157.7290650480063</v>
      </c>
      <c r="T63" s="40">
        <f>AM62</f>
        <v>-17602.6011175146014</v>
      </c>
      <c r="U63" s="40">
        <f aca="1">IF(A63&lt;Param.FireStartjahr,Param.SparrateDepotMonatl*12*(1+Param.SparrateDynamikJaehrl)^($A63-Param.Startjahr),0)</f>
        <v>0</v>
      </c>
      <c r="V63" s="40">
        <f aca="1">IF(AND(Param.SonstigEinmaligKonto1="Depot",$A63=Param.SonstigEinmaligJahr1),Param.SonstigEinmaligBetrag1,0)</f>
        <v>0</v>
      </c>
      <c r="W63" s="40">
        <f aca="1">IF(AND(Param.SonstigEinmaligKonto2="Depot",$A63=Param.SonstigEinmaligJahr2),Param.SonstigEinmaligBetrag2,0)</f>
        <v>0</v>
      </c>
      <c r="X63" s="40">
        <f aca="1">IF(AND(Param.SonstigEinmaligKonto3="Depot",$A63=Param.SonstigEinmaligJahr3),Param.SonstigEinmaligBetrag3,0)</f>
        <v>0</v>
      </c>
      <c r="Y63" s="40">
        <f aca="1">IF(AND(Param.SonstigEinmaligKonto4="Depot",$A63=Param.SonstigEinmaligJahr4),Param.SonstigEinmaligBetrag4,0)</f>
        <v>0</v>
      </c>
      <c r="Z63" s="40">
        <f aca="1">IF(AND(Param.SonstigEinmaligKonto5="Depot",$A63=Param.SonstigEinmaligJahr5),Param.SonstigEinmaligBetrag5,0)</f>
        <v>0</v>
      </c>
      <c r="AA63" s="40">
        <f aca="1">IF(AND(Param.SonstigEinmaligKonto6="Depot",$A63=Param.SonstigEinmaligJahr6),Param.SonstigEinmaligBetrag6,0)</f>
        <v>0</v>
      </c>
      <c r="AB63" s="40">
        <f aca="1">IF(AND(Param.SonstigEinmaligKonto7="Depot",$A63=Param.SonstigEinmaligJahr7),Param.SonstigEinmaligBetrag7,0)</f>
        <v>0</v>
      </c>
      <c r="AC63" s="40">
        <f aca="1">IF(AND(Param.SonstigEinmaligKonto8="Depot",$A63=Param.SonstigEinmaligJahr8),Param.SonstigEinmaligBetrag8,0)</f>
        <v>0</v>
      </c>
      <c r="AD63" s="40">
        <f aca="1">IF(AND(Param.SonstigEinmaligKonto9="Depot",$A63=Param.SonstigEinmaligJahr9),Param.SonstigEinmaligBetrag9,0)</f>
        <v>0</v>
      </c>
      <c r="AE63" s="40">
        <f aca="1">IF(AND(Param.SonstigEinmaligKonto10="Depot",$A63=Param.SonstigEinmaligJahr10),Param.SonstigEinmaligBetrag10,0)</f>
        <v>0</v>
      </c>
      <c r="AF63" s="40">
        <f aca="1">Param.SparerPauschbetrag-BF63</f>
        <v>1000</v>
      </c>
      <c r="AG63" s="40">
        <f aca="1">IF(AND(A63&gt;=Param.FireStartjahr,S63&gt;0),MIN(N63*Q63,S63),0)</f>
        <v>0</v>
      </c>
      <c r="AH63" s="40">
        <f aca="1">IF(AG63&lt;=0,0,IF(S63&lt;=0,0,AG63/(1-MAX(0,((T63/S63)*(1-Param.Teilfreistellung)-MIN(AF63,AG63)/AG63)*Param.KapSt))))</f>
        <v>0</v>
      </c>
      <c r="AI63" s="40">
        <f>AH63-AG63</f>
        <v>0</v>
      </c>
      <c r="AJ63" s="40">
        <f>T63-AH63*(T63/S63)</f>
        <v>-17602.6011175146014</v>
      </c>
      <c r="AK63" s="40">
        <f>S63-AH63</f>
        <v>-18157.729065047999</v>
      </c>
      <c r="AL63" s="40">
        <f>FV(AO63,12,-(U63/12),-AK63,0)</f>
        <v>-19247.1928089501671</v>
      </c>
      <c r="AM63" s="40">
        <f>AJ63+AL63-AK63-U63</f>
        <v>-18692.0648614167985</v>
      </c>
      <c r="AN63" s="5">
        <f>AM63/AL63</f>
        <v>0.971157978566346536</v>
      </c>
      <c r="AO63" s="5">
        <f aca="1">(1+IF(AND(A63&gt;=Param.DepotRenditeSpezBeginn1,A63&lt;=Param.DepotRenditeSpezEnde1),Param.DepotRenditeSpezProz1,IF(AND(A63&gt;=Param.DepotRenditeSpezBeginn2,A63&lt;=Param.DepotRenditeSpezEnde2),Param.DepotRenditeSpezProz2,IF(AND(A63&gt;=Param.DepotRenditeSpezBeginn3,A63&lt;=Param.DepotRenditeSpezEnde3),Param.DepotRenditeSpezProz3,IF(AND(A63&gt;=Param.DepotRenditeSpezBeginn4,A63&lt;=Param.DepotRenditeSpezEnde4),Param.DepotRenditeSpezProz4,IF(AND(A63&gt;=Param.DepotRenditeSpezBeginn5,A63&lt;=Param.DepotRenditeSpezEnde5),Param.DepotRenditeSpezProz5,Param.DepotRenditeDefault))))))^(1/12)-1</f>
        <v>0.00486755056533993979</v>
      </c>
      <c r="AP63" s="40">
        <f>BJ62</f>
        <v>0</v>
      </c>
      <c r="AQ63" s="40">
        <f aca="1">IF(A63&lt;Param.FireStartjahr,Param.SparrateFestgeldMonatl*12*(1+Param.SparrateDynamikJaehrl)^($A63-Param.Startjahr),0)</f>
        <v>0</v>
      </c>
      <c r="AR63" s="40">
        <f>O63</f>
        <v>0</v>
      </c>
      <c r="AS63" s="40">
        <f aca="1">IF(AND(Param.SonstigEinmaligKonto1="Festgeld",$A63=Param.SonstigEinmaligJahr1),Param.SonstigEinmaligBetrag1,0)</f>
        <v>0</v>
      </c>
      <c r="AT63" s="40">
        <f aca="1">IF(AND(Param.SonstigEinmaligKonto2="Festgeld",$A63=Param.SonstigEinmaligJahr2),Param.SonstigEinmaligBetrag2,0)</f>
        <v>0</v>
      </c>
      <c r="AU63" s="40">
        <f aca="1">IF(AND(Param.SonstigEinmaligKonto3="Festgeld",$A63=Param.SonstigEinmaligJahr3),Param.SonstigEinmaligBetrag3,0)</f>
        <v>0</v>
      </c>
      <c r="AV63" s="40">
        <f aca="1">IF(AND(Param.SonstigEinmaligKonto4="Festgeld",$A63=Param.SonstigEinmaligJahr4),Param.SonstigEinmaligBetrag4,0)</f>
        <v>0</v>
      </c>
      <c r="AW63" s="40">
        <f aca="1">IF(AND(Param.SonstigEinmaligKonto5="Festgeld",$A63=Param.SonstigEinmaligJahr5),Param.SonstigEinmaligBetrag5,0)</f>
        <v>0</v>
      </c>
      <c r="AX63" s="40">
        <f aca="1">IF(AND(Param.SonstigEinmaligKonto6="Festgeld",$A63=Param.SonstigEinmaligJahr6),Param.SonstigEinmaligBetrag6,0)</f>
        <v>0</v>
      </c>
      <c r="AY63" s="40">
        <f aca="1">IF(AND(Param.SonstigEinmaligKonto7="Festgeld",$A63=Param.SonstigEinmaligJahr7),Param.SonstigEinmaligBetrag7,0)</f>
        <v>0</v>
      </c>
      <c r="AZ63" s="40">
        <f aca="1">IF(AND(Param.SonstigEinmaligKonto8="Festgeld",$A63=Param.SonstigEinmaligJahr8),Param.SonstigEinmaligBetrag8,0)</f>
        <v>0</v>
      </c>
      <c r="BA63" s="40">
        <f aca="1">IF(AND(Param.SonstigEinmaligKonto9="Festgeld",$A63=Param.SonstigEinmaligJahr9),Param.SonstigEinmaligBetrag9,0)</f>
        <v>0</v>
      </c>
      <c r="BB63" s="40">
        <f aca="1">IF(AND(Param.SonstigEinmaligKonto10="Festgeld",$A63=Param.SonstigEinmaligJahr10),Param.SonstigEinmaligBetrag10,0)</f>
        <v>0</v>
      </c>
      <c r="BC63" s="40">
        <f aca="1">IF(AND(A63&gt;=Param.FireStartjahr,AP63&gt;0),MIN(N63*R63,AP63),0)</f>
        <v>0</v>
      </c>
      <c r="BD63" s="5">
        <f aca="1">Param.FestgeldZinssatz</f>
        <v>0.02</v>
      </c>
      <c r="BE63" s="40">
        <f>(AP63+AQ63-BC63)*BD63</f>
        <v>0</v>
      </c>
      <c r="BF63" s="40">
        <f aca="1">IF(BE63&gt;Param.SparerPauschbetrag,Param.SparerPauschbetrag,BE63)</f>
        <v>0</v>
      </c>
      <c r="BG63" s="40">
        <f>BE63-BF63</f>
        <v>0</v>
      </c>
      <c r="BH63" s="40">
        <f aca="1">BG63*Param.KapSt</f>
        <v>0</v>
      </c>
      <c r="BI63" s="40">
        <f>BE63-BH63</f>
        <v>0</v>
      </c>
      <c r="BJ63" s="63">
        <f>AP63+SUM(AQ63:BB63)-BC63+BI63</f>
        <v>0</v>
      </c>
      <c r="BK63" s="40">
        <f>AL63+BJ63</f>
        <v>-19247.1928089501998</v>
      </c>
      <c r="BL63" s="40">
        <f aca="1">BK63/(1+Param.Inflationsrate)^(A63-Param.Startjahr)</f>
        <v>-4596.03369691688022</v>
      </c>
      <c r="BM63" s="52">
        <f>IF(BK63&lt;N63,A63,"")</f>
        <v>2084</v>
      </c>
      <c r="BN63" s="40">
        <f>AH63+BC63</f>
        <v>0</v>
      </c>
      <c r="BO63" s="40">
        <f>SUM(AR63:BB63)</f>
        <v>0</v>
      </c>
      <c r="BP63" s="40">
        <f>BN63+(-1*BO63)</f>
        <v>0</v>
      </c>
      <c r="BQ63" s="40">
        <f>AI63+BH63</f>
        <v>0</v>
      </c>
      <c r="BR63" s="5">
        <f>IF(BK63&gt;0,BP63/BK63,0)</f>
        <v>0</v>
      </c>
    </row>
    <row r="64" spans="1:70">
      <c r="A64">
        <f>A63+1</f>
        <v>2085</v>
      </c>
      <c r="B64">
        <f>B6+(59-1)</f>
        <v>89</v>
      </c>
      <c r="C64" s="10">
        <f aca="1">IF(A64&lt;Param.FireStartjahr,0,Param.EntnahmeBetragStart*(1+Param.Inflationsrate)^(A64-Param.Startjahr))</f>
        <v>128774.334111659409</v>
      </c>
      <c r="D64" s="40">
        <f aca="1">IF(OR($A64&lt;Param.SonstigRegelmJahrBeginn1,$A64&gt;Param.SonstigRegelmJahrEnd1),0,Param.SonstigRegelmBetragJaehrl1*(1+Param.SonstigRegelmSteig1)^(A64-Param.SonstigRegelmJahrBeginn1))</f>
        <v>22404.8854755165594</v>
      </c>
      <c r="E64" s="40">
        <f aca="1">IF(OR($A64&lt;Param.SonstigRegelmJahrBeginn2,$A64&gt;Param.SonstigRegelmJahrEnd2),0,Param.SonstigRegelmBetragJaehrl2*(1+Param.SonstigRegelmSteig2)^($A64-Param.SonstigRegelmJahrBeginn2))</f>
        <v>0</v>
      </c>
      <c r="F64" s="40">
        <f aca="1">IF(OR($A64&lt;Param.SonstigRegelmJahrBeginn3,$A64&gt;Param.SonstigRegelmJahrEnd3),0,Param.SonstigRegelmBetragJaehrl3*(1+Param.SonstigRegelmSteig3)^($A64-Param.SonstigRegelmJahrBeginn3))</f>
        <v>0</v>
      </c>
      <c r="G64" s="40">
        <f aca="1">IF(OR($A64&lt;Param.SonstigRegelmJahrBeginn4,$A64&gt;Param.SonstigRegelmJahrEnd4),0,Param.SonstigRegelmBetragJaehrl4*(1+Param.SonstigRegelmSteig4)^($A64-Param.SonstigRegelmJahrBeginn4))</f>
        <v>0</v>
      </c>
      <c r="H64" s="40">
        <f aca="1">IF(OR($A64&lt;Param.SonstigRegelmJahrBeginn5,$A64&gt;Param.SonstigRegelmJahrEnd5),0,Param.SonstigRegelmBetragJaehrl5*(1+Param.SonstigRegelmSteig5)^($A64-Param.SonstigRegelmJahrBeginn5))</f>
        <v>0</v>
      </c>
      <c r="I64" s="40">
        <f aca="1">IF(OR($A64&lt;Param.SonstigRegelmJahrBeginn6,$A64&gt;Param.SonstigRegelmJahrEnd6),0,Param.SonstigRegelmBetragJaehrl6*(1+Param.SonstigRegelmSteig6)^($A64-Param.SonstigRegelmJahrBeginn6))</f>
        <v>0</v>
      </c>
      <c r="J64" s="40">
        <f aca="1">IF(OR($A64&lt;Param.SonstigRegelmJahrBeginn7,$A64&gt;Param.SonstigRegelmJahrEnd7),0,Param.SonstigRegelmBetragJaehrl7*(1+Param.SonstigRegelmSteig7)^($A64-Param.SonstigRegelmJahrBeginn7))</f>
        <v>0</v>
      </c>
      <c r="K64" s="40">
        <f aca="1">IF(OR($A64&lt;Param.SonstigRegelmJahrBeginn8,$A64&gt;Param.SonstigRegelmJahrEnd8),0,Param.SonstigRegelmBetragJaehrl8*(1+Param.SonstigRegelmSteig8)^($A64-Param.SonstigRegelmJahrBeginn8))</f>
        <v>0</v>
      </c>
      <c r="L64" s="40">
        <f aca="1">IF(OR($A64&lt;Param.SonstigRegelmJahrBeginn9,$A64&gt;Param.SonstigRegelmJahrEnd9),0,Param.SonstigRegelmBetragJaehrl9*(1+Param.SonstigRegelmSteig9)^($A64-Param.SonstigRegelmJahrBeginn9))</f>
        <v>0</v>
      </c>
      <c r="M64" s="40">
        <f aca="1">IF(OR($A64&lt;Param.SonstigRegelmJahrBeginn10,$A64&gt;Param.SonstigRegelmJahrEnd10),0,Param.SonstigRegelmBetragJaehrl10*(1+Param.SonstigRegelmSteig10)^($A64-Param.SonstigRegelmJahrBeginn10))</f>
        <v>0</v>
      </c>
      <c r="N64" s="10">
        <f>MAX(0,C64-SUM(D64:M64))</f>
        <v>106369.448636142406</v>
      </c>
      <c r="O64" s="10">
        <f>IF(N64&lt;=0,SUM(D64:M64)-C64,0)</f>
        <v>0</v>
      </c>
      <c r="P64" s="10">
        <f>S64+AP64</f>
        <v>-19247.1928089501998</v>
      </c>
      <c r="Q64" s="11">
        <f>IF(P64&gt;0,S64/P64,0)</f>
        <v>0</v>
      </c>
      <c r="R64" s="11">
        <f>IF(P64&gt;0,AP64/P64,0)</f>
        <v>0</v>
      </c>
      <c r="S64" s="10">
        <f>AL63</f>
        <v>-19247.1928089501671</v>
      </c>
      <c r="T64" s="40">
        <f>AM63</f>
        <v>-18692.0648614167985</v>
      </c>
      <c r="U64" s="40">
        <f aca="1">IF(A64&lt;Param.FireStartjahr,Param.SparrateDepotMonatl*12*(1+Param.SparrateDynamikJaehrl)^($A64-Param.Startjahr),0)</f>
        <v>0</v>
      </c>
      <c r="V64" s="40">
        <f aca="1">IF(AND(Param.SonstigEinmaligKonto1="Depot",$A64=Param.SonstigEinmaligJahr1),Param.SonstigEinmaligBetrag1,0)</f>
        <v>0</v>
      </c>
      <c r="W64" s="40">
        <f aca="1">IF(AND(Param.SonstigEinmaligKonto2="Depot",$A64=Param.SonstigEinmaligJahr2),Param.SonstigEinmaligBetrag2,0)</f>
        <v>0</v>
      </c>
      <c r="X64" s="40">
        <f aca="1">IF(AND(Param.SonstigEinmaligKonto3="Depot",$A64=Param.SonstigEinmaligJahr3),Param.SonstigEinmaligBetrag3,0)</f>
        <v>0</v>
      </c>
      <c r="Y64" s="40">
        <f aca="1">IF(AND(Param.SonstigEinmaligKonto4="Depot",$A64=Param.SonstigEinmaligJahr4),Param.SonstigEinmaligBetrag4,0)</f>
        <v>0</v>
      </c>
      <c r="Z64" s="40">
        <f aca="1">IF(AND(Param.SonstigEinmaligKonto5="Depot",$A64=Param.SonstigEinmaligJahr5),Param.SonstigEinmaligBetrag5,0)</f>
        <v>0</v>
      </c>
      <c r="AA64" s="40">
        <f aca="1">IF(AND(Param.SonstigEinmaligKonto6="Depot",$A64=Param.SonstigEinmaligJahr6),Param.SonstigEinmaligBetrag6,0)</f>
        <v>0</v>
      </c>
      <c r="AB64" s="40">
        <f aca="1">IF(AND(Param.SonstigEinmaligKonto7="Depot",$A64=Param.SonstigEinmaligJahr7),Param.SonstigEinmaligBetrag7,0)</f>
        <v>0</v>
      </c>
      <c r="AC64" s="40">
        <f aca="1">IF(AND(Param.SonstigEinmaligKonto8="Depot",$A64=Param.SonstigEinmaligJahr8),Param.SonstigEinmaligBetrag8,0)</f>
        <v>0</v>
      </c>
      <c r="AD64" s="40">
        <f aca="1">IF(AND(Param.SonstigEinmaligKonto9="Depot",$A64=Param.SonstigEinmaligJahr9),Param.SonstigEinmaligBetrag9,0)</f>
        <v>0</v>
      </c>
      <c r="AE64" s="40">
        <f aca="1">IF(AND(Param.SonstigEinmaligKonto10="Depot",$A64=Param.SonstigEinmaligJahr10),Param.SonstigEinmaligBetrag10,0)</f>
        <v>0</v>
      </c>
      <c r="AF64" s="40">
        <f aca="1">Param.SparerPauschbetrag-BF64</f>
        <v>1000</v>
      </c>
      <c r="AG64" s="40">
        <f aca="1">IF(AND(A64&gt;=Param.FireStartjahr,S64&gt;0),MIN(N64*Q64,S64),0)</f>
        <v>0</v>
      </c>
      <c r="AH64" s="40">
        <f aca="1">IF(AG64&lt;=0,0,IF(S64&lt;=0,0,AG64/(1-MAX(0,((T64/S64)*(1-Param.Teilfreistellung)-MIN(AF64,AG64)/AG64)*Param.KapSt))))</f>
        <v>0</v>
      </c>
      <c r="AI64" s="40">
        <f>AH64-AG64</f>
        <v>0</v>
      </c>
      <c r="AJ64" s="40">
        <f>T64-AH64*(T64/S64)</f>
        <v>-18692.0648614167985</v>
      </c>
      <c r="AK64" s="40">
        <f>S64-AH64</f>
        <v>-19247.1928089501998</v>
      </c>
      <c r="AL64" s="40">
        <f>FV(AO64,12,-(U64/12),-AK64,0)</f>
        <v>-20402.0243774864575</v>
      </c>
      <c r="AM64" s="40">
        <f>AJ64+AL64-AK64-U64</f>
        <v>-19846.8964299530999</v>
      </c>
      <c r="AN64" s="5">
        <f>AM64/AL64</f>
        <v>0.972790545817307262</v>
      </c>
      <c r="AO64" s="5">
        <f aca="1">(1+IF(AND(A64&gt;=Param.DepotRenditeSpezBeginn1,A64&lt;=Param.DepotRenditeSpezEnde1),Param.DepotRenditeSpezProz1,IF(AND(A64&gt;=Param.DepotRenditeSpezBeginn2,A64&lt;=Param.DepotRenditeSpezEnde2),Param.DepotRenditeSpezProz2,IF(AND(A64&gt;=Param.DepotRenditeSpezBeginn3,A64&lt;=Param.DepotRenditeSpezEnde3),Param.DepotRenditeSpezProz3,IF(AND(A64&gt;=Param.DepotRenditeSpezBeginn4,A64&lt;=Param.DepotRenditeSpezEnde4),Param.DepotRenditeSpezProz4,IF(AND(A64&gt;=Param.DepotRenditeSpezBeginn5,A64&lt;=Param.DepotRenditeSpezEnde5),Param.DepotRenditeSpezProz5,Param.DepotRenditeDefault))))))^(1/12)-1</f>
        <v>0.00486755056533993979</v>
      </c>
      <c r="AP64" s="40">
        <f>BJ63</f>
        <v>0</v>
      </c>
      <c r="AQ64" s="40">
        <f aca="1">IF(A64&lt;Param.FireStartjahr,Param.SparrateFestgeldMonatl*12*(1+Param.SparrateDynamikJaehrl)^($A64-Param.Startjahr),0)</f>
        <v>0</v>
      </c>
      <c r="AR64" s="40">
        <f>O64</f>
        <v>0</v>
      </c>
      <c r="AS64" s="40">
        <f aca="1">IF(AND(Param.SonstigEinmaligKonto1="Festgeld",$A64=Param.SonstigEinmaligJahr1),Param.SonstigEinmaligBetrag1,0)</f>
        <v>0</v>
      </c>
      <c r="AT64" s="40">
        <f aca="1">IF(AND(Param.SonstigEinmaligKonto2="Festgeld",$A64=Param.SonstigEinmaligJahr2),Param.SonstigEinmaligBetrag2,0)</f>
        <v>0</v>
      </c>
      <c r="AU64" s="40">
        <f aca="1">IF(AND(Param.SonstigEinmaligKonto3="Festgeld",$A64=Param.SonstigEinmaligJahr3),Param.SonstigEinmaligBetrag3,0)</f>
        <v>0</v>
      </c>
      <c r="AV64" s="40">
        <f aca="1">IF(AND(Param.SonstigEinmaligKonto4="Festgeld",$A64=Param.SonstigEinmaligJahr4),Param.SonstigEinmaligBetrag4,0)</f>
        <v>0</v>
      </c>
      <c r="AW64" s="40">
        <f aca="1">IF(AND(Param.SonstigEinmaligKonto5="Festgeld",$A64=Param.SonstigEinmaligJahr5),Param.SonstigEinmaligBetrag5,0)</f>
        <v>0</v>
      </c>
      <c r="AX64" s="40">
        <f aca="1">IF(AND(Param.SonstigEinmaligKonto6="Festgeld",$A64=Param.SonstigEinmaligJahr6),Param.SonstigEinmaligBetrag6,0)</f>
        <v>0</v>
      </c>
      <c r="AY64" s="40">
        <f aca="1">IF(AND(Param.SonstigEinmaligKonto7="Festgeld",$A64=Param.SonstigEinmaligJahr7),Param.SonstigEinmaligBetrag7,0)</f>
        <v>0</v>
      </c>
      <c r="AZ64" s="40">
        <f aca="1">IF(AND(Param.SonstigEinmaligKonto8="Festgeld",$A64=Param.SonstigEinmaligJahr8),Param.SonstigEinmaligBetrag8,0)</f>
        <v>0</v>
      </c>
      <c r="BA64" s="40">
        <f aca="1">IF(AND(Param.SonstigEinmaligKonto9="Festgeld",$A64=Param.SonstigEinmaligJahr9),Param.SonstigEinmaligBetrag9,0)</f>
        <v>0</v>
      </c>
      <c r="BB64" s="40">
        <f aca="1">IF(AND(Param.SonstigEinmaligKonto10="Festgeld",$A64=Param.SonstigEinmaligJahr10),Param.SonstigEinmaligBetrag10,0)</f>
        <v>0</v>
      </c>
      <c r="BC64" s="40">
        <f aca="1">IF(AND(A64&gt;=Param.FireStartjahr,AP64&gt;0),MIN(N64*R64,AP64),0)</f>
        <v>0</v>
      </c>
      <c r="BD64" s="5">
        <f aca="1">Param.FestgeldZinssatz</f>
        <v>0.02</v>
      </c>
      <c r="BE64" s="40">
        <f>(AP64+AQ64-BC64)*BD64</f>
        <v>0</v>
      </c>
      <c r="BF64" s="40">
        <f aca="1">IF(BE64&gt;Param.SparerPauschbetrag,Param.SparerPauschbetrag,BE64)</f>
        <v>0</v>
      </c>
      <c r="BG64" s="40">
        <f>BE64-BF64</f>
        <v>0</v>
      </c>
      <c r="BH64" s="40">
        <f aca="1">BG64*Param.KapSt</f>
        <v>0</v>
      </c>
      <c r="BI64" s="40">
        <f>BE64-BH64</f>
        <v>0</v>
      </c>
      <c r="BJ64" s="63">
        <f>AP64+SUM(AQ64:BB64)-BC64+BI64</f>
        <v>0</v>
      </c>
      <c r="BK64" s="40">
        <f>AL64+BJ64</f>
        <v>-20402.0243774865012</v>
      </c>
      <c r="BL64" s="40">
        <f aca="1">BK64/(1+Param.Inflationsrate)^(A64-Param.Startjahr)</f>
        <v>-4752.97143290899112</v>
      </c>
      <c r="BM64" s="52">
        <f>IF(BK64&lt;N64,A64,"")</f>
        <v>2085</v>
      </c>
      <c r="BN64" s="40">
        <f>AH64+BC64</f>
        <v>0</v>
      </c>
      <c r="BO64" s="40">
        <f>SUM(AR64:BB64)</f>
        <v>0</v>
      </c>
      <c r="BP64" s="40">
        <f>BN64+(-1*BO64)</f>
        <v>0</v>
      </c>
      <c r="BQ64" s="40">
        <f>AI64+BH64</f>
        <v>0</v>
      </c>
      <c r="BR64" s="5">
        <f>IF(BK64&gt;0,BP64/BK64,0)</f>
        <v>0</v>
      </c>
    </row>
    <row r="65" spans="1:70">
      <c r="A65">
        <f>A64+1</f>
        <v>2086</v>
      </c>
      <c r="B65">
        <f>B7+(59-1)</f>
        <v>90</v>
      </c>
      <c r="C65" s="10">
        <f aca="1">IF(A65&lt;Param.FireStartjahr,0,Param.EntnahmeBetragStart*(1+Param.Inflationsrate)^(A65-Param.Startjahr))</f>
        <v>131993.692464450898</v>
      </c>
      <c r="D65" s="40">
        <f aca="1">IF(OR($A65&lt;Param.SonstigRegelmJahrBeginn1,$A65&gt;Param.SonstigRegelmJahrEnd1),0,Param.SonstigRegelmBetragJaehrl1*(1+Param.SonstigRegelmSteig1)^(A65-Param.SonstigRegelmJahrBeginn1))</f>
        <v>22628.9343302717389</v>
      </c>
      <c r="E65" s="40">
        <f aca="1">IF(OR($A65&lt;Param.SonstigRegelmJahrBeginn2,$A65&gt;Param.SonstigRegelmJahrEnd2),0,Param.SonstigRegelmBetragJaehrl2*(1+Param.SonstigRegelmSteig2)^($A65-Param.SonstigRegelmJahrBeginn2))</f>
        <v>0</v>
      </c>
      <c r="F65" s="40">
        <f aca="1">IF(OR($A65&lt;Param.SonstigRegelmJahrBeginn3,$A65&gt;Param.SonstigRegelmJahrEnd3),0,Param.SonstigRegelmBetragJaehrl3*(1+Param.SonstigRegelmSteig3)^($A65-Param.SonstigRegelmJahrBeginn3))</f>
        <v>0</v>
      </c>
      <c r="G65" s="40">
        <f aca="1">IF(OR($A65&lt;Param.SonstigRegelmJahrBeginn4,$A65&gt;Param.SonstigRegelmJahrEnd4),0,Param.SonstigRegelmBetragJaehrl4*(1+Param.SonstigRegelmSteig4)^($A65-Param.SonstigRegelmJahrBeginn4))</f>
        <v>0</v>
      </c>
      <c r="H65" s="40">
        <f aca="1">IF(OR($A65&lt;Param.SonstigRegelmJahrBeginn5,$A65&gt;Param.SonstigRegelmJahrEnd5),0,Param.SonstigRegelmBetragJaehrl5*(1+Param.SonstigRegelmSteig5)^($A65-Param.SonstigRegelmJahrBeginn5))</f>
        <v>0</v>
      </c>
      <c r="I65" s="40">
        <f aca="1">IF(OR($A65&lt;Param.SonstigRegelmJahrBeginn6,$A65&gt;Param.SonstigRegelmJahrEnd6),0,Param.SonstigRegelmBetragJaehrl6*(1+Param.SonstigRegelmSteig6)^($A65-Param.SonstigRegelmJahrBeginn6))</f>
        <v>0</v>
      </c>
      <c r="J65" s="40">
        <f aca="1">IF(OR($A65&lt;Param.SonstigRegelmJahrBeginn7,$A65&gt;Param.SonstigRegelmJahrEnd7),0,Param.SonstigRegelmBetragJaehrl7*(1+Param.SonstigRegelmSteig7)^($A65-Param.SonstigRegelmJahrBeginn7))</f>
        <v>0</v>
      </c>
      <c r="K65" s="40">
        <f aca="1">IF(OR($A65&lt;Param.SonstigRegelmJahrBeginn8,$A65&gt;Param.SonstigRegelmJahrEnd8),0,Param.SonstigRegelmBetragJaehrl8*(1+Param.SonstigRegelmSteig8)^($A65-Param.SonstigRegelmJahrBeginn8))</f>
        <v>0</v>
      </c>
      <c r="L65" s="40">
        <f aca="1">IF(OR($A65&lt;Param.SonstigRegelmJahrBeginn9,$A65&gt;Param.SonstigRegelmJahrEnd9),0,Param.SonstigRegelmBetragJaehrl9*(1+Param.SonstigRegelmSteig9)^($A65-Param.SonstigRegelmJahrBeginn9))</f>
        <v>0</v>
      </c>
      <c r="M65" s="40">
        <f aca="1">IF(OR($A65&lt;Param.SonstigRegelmJahrBeginn10,$A65&gt;Param.SonstigRegelmJahrEnd10),0,Param.SonstigRegelmBetragJaehrl10*(1+Param.SonstigRegelmSteig10)^($A65-Param.SonstigRegelmJahrBeginn10))</f>
        <v>0</v>
      </c>
      <c r="N65" s="10">
        <f>MAX(0,C65-SUM(D65:M65))</f>
        <v>109364.758134179312</v>
      </c>
      <c r="O65" s="10">
        <f>IF(N65&lt;=0,SUM(D65:M65)-C65,0)</f>
        <v>0</v>
      </c>
      <c r="P65" s="10">
        <f>S65+AP65</f>
        <v>-20402.0243774865012</v>
      </c>
      <c r="Q65" s="11">
        <f>IF(P65&gt;0,S65/P65,0)</f>
        <v>0</v>
      </c>
      <c r="R65" s="11">
        <f>IF(P65&gt;0,AP65/P65,0)</f>
        <v>0</v>
      </c>
      <c r="S65" s="10">
        <f>AL64</f>
        <v>-20402.0243774864575</v>
      </c>
      <c r="T65" s="40">
        <f>AM64</f>
        <v>-19846.8964299530999</v>
      </c>
      <c r="U65" s="40">
        <f aca="1">IF(A65&lt;Param.FireStartjahr,Param.SparrateDepotMonatl*12*(1+Param.SparrateDynamikJaehrl)^($A65-Param.Startjahr),0)</f>
        <v>0</v>
      </c>
      <c r="V65" s="40">
        <f aca="1">IF(AND(Param.SonstigEinmaligKonto1="Depot",$A65=Param.SonstigEinmaligJahr1),Param.SonstigEinmaligBetrag1,0)</f>
        <v>0</v>
      </c>
      <c r="W65" s="40">
        <f aca="1">IF(AND(Param.SonstigEinmaligKonto2="Depot",$A65=Param.SonstigEinmaligJahr2),Param.SonstigEinmaligBetrag2,0)</f>
        <v>0</v>
      </c>
      <c r="X65" s="40">
        <f aca="1">IF(AND(Param.SonstigEinmaligKonto3="Depot",$A65=Param.SonstigEinmaligJahr3),Param.SonstigEinmaligBetrag3,0)</f>
        <v>0</v>
      </c>
      <c r="Y65" s="40">
        <f aca="1">IF(AND(Param.SonstigEinmaligKonto4="Depot",$A65=Param.SonstigEinmaligJahr4),Param.SonstigEinmaligBetrag4,0)</f>
        <v>0</v>
      </c>
      <c r="Z65" s="40">
        <f aca="1">IF(AND(Param.SonstigEinmaligKonto5="Depot",$A65=Param.SonstigEinmaligJahr5),Param.SonstigEinmaligBetrag5,0)</f>
        <v>0</v>
      </c>
      <c r="AA65" s="40">
        <f aca="1">IF(AND(Param.SonstigEinmaligKonto6="Depot",$A65=Param.SonstigEinmaligJahr6),Param.SonstigEinmaligBetrag6,0)</f>
        <v>0</v>
      </c>
      <c r="AB65" s="40">
        <f aca="1">IF(AND(Param.SonstigEinmaligKonto7="Depot",$A65=Param.SonstigEinmaligJahr7),Param.SonstigEinmaligBetrag7,0)</f>
        <v>0</v>
      </c>
      <c r="AC65" s="40">
        <f aca="1">IF(AND(Param.SonstigEinmaligKonto8="Depot",$A65=Param.SonstigEinmaligJahr8),Param.SonstigEinmaligBetrag8,0)</f>
        <v>0</v>
      </c>
      <c r="AD65" s="40">
        <f aca="1">IF(AND(Param.SonstigEinmaligKonto9="Depot",$A65=Param.SonstigEinmaligJahr9),Param.SonstigEinmaligBetrag9,0)</f>
        <v>0</v>
      </c>
      <c r="AE65" s="40">
        <f aca="1">IF(AND(Param.SonstigEinmaligKonto10="Depot",$A65=Param.SonstigEinmaligJahr10),Param.SonstigEinmaligBetrag10,0)</f>
        <v>0</v>
      </c>
      <c r="AF65" s="40">
        <f aca="1">Param.SparerPauschbetrag-BF65</f>
        <v>1000</v>
      </c>
      <c r="AG65" s="40">
        <f aca="1">IF(AND(A65&gt;=Param.FireStartjahr,S65&gt;0),MIN(N65*Q65,S65),0)</f>
        <v>0</v>
      </c>
      <c r="AH65" s="40">
        <f aca="1">IF(AG65&lt;=0,0,IF(S65&lt;=0,0,AG65/(1-MAX(0,((T65/S65)*(1-Param.Teilfreistellung)-MIN(AF65,AG65)/AG65)*Param.KapSt))))</f>
        <v>0</v>
      </c>
      <c r="AI65" s="40">
        <f>AH65-AG65</f>
        <v>0</v>
      </c>
      <c r="AJ65" s="40">
        <f>T65-AH65*(T65/S65)</f>
        <v>-19846.8964299530999</v>
      </c>
      <c r="AK65" s="40">
        <f>S65-AH65</f>
        <v>-20402.0243774865012</v>
      </c>
      <c r="AL65" s="40">
        <f>FV(AO65,12,-(U65/12),-AK65,0)</f>
        <v>-21626.14584013489</v>
      </c>
      <c r="AM65" s="40">
        <f>AJ65+AL65-AK65-U65</f>
        <v>-21071.0178926014996</v>
      </c>
      <c r="AN65" s="5">
        <f>AM65/AL65</f>
        <v>0.974330703601232173</v>
      </c>
      <c r="AO65" s="5">
        <f aca="1">(1+IF(AND(A65&gt;=Param.DepotRenditeSpezBeginn1,A65&lt;=Param.DepotRenditeSpezEnde1),Param.DepotRenditeSpezProz1,IF(AND(A65&gt;=Param.DepotRenditeSpezBeginn2,A65&lt;=Param.DepotRenditeSpezEnde2),Param.DepotRenditeSpezProz2,IF(AND(A65&gt;=Param.DepotRenditeSpezBeginn3,A65&lt;=Param.DepotRenditeSpezEnde3),Param.DepotRenditeSpezProz3,IF(AND(A65&gt;=Param.DepotRenditeSpezBeginn4,A65&lt;=Param.DepotRenditeSpezEnde4),Param.DepotRenditeSpezProz4,IF(AND(A65&gt;=Param.DepotRenditeSpezBeginn5,A65&lt;=Param.DepotRenditeSpezEnde5),Param.DepotRenditeSpezProz5,Param.DepotRenditeDefault))))))^(1/12)-1</f>
        <v>0.00486755056533993979</v>
      </c>
      <c r="AP65" s="40">
        <f>BJ64</f>
        <v>0</v>
      </c>
      <c r="AQ65" s="40">
        <f aca="1">IF(A65&lt;Param.FireStartjahr,Param.SparrateFestgeldMonatl*12*(1+Param.SparrateDynamikJaehrl)^($A65-Param.Startjahr),0)</f>
        <v>0</v>
      </c>
      <c r="AR65" s="40">
        <f>O65</f>
        <v>0</v>
      </c>
      <c r="AS65" s="40">
        <f aca="1">IF(AND(Param.SonstigEinmaligKonto1="Festgeld",$A65=Param.SonstigEinmaligJahr1),Param.SonstigEinmaligBetrag1,0)</f>
        <v>0</v>
      </c>
      <c r="AT65" s="40">
        <f aca="1">IF(AND(Param.SonstigEinmaligKonto2="Festgeld",$A65=Param.SonstigEinmaligJahr2),Param.SonstigEinmaligBetrag2,0)</f>
        <v>0</v>
      </c>
      <c r="AU65" s="40">
        <f aca="1">IF(AND(Param.SonstigEinmaligKonto3="Festgeld",$A65=Param.SonstigEinmaligJahr3),Param.SonstigEinmaligBetrag3,0)</f>
        <v>0</v>
      </c>
      <c r="AV65" s="40">
        <f aca="1">IF(AND(Param.SonstigEinmaligKonto4="Festgeld",$A65=Param.SonstigEinmaligJahr4),Param.SonstigEinmaligBetrag4,0)</f>
        <v>0</v>
      </c>
      <c r="AW65" s="40">
        <f aca="1">IF(AND(Param.SonstigEinmaligKonto5="Festgeld",$A65=Param.SonstigEinmaligJahr5),Param.SonstigEinmaligBetrag5,0)</f>
        <v>0</v>
      </c>
      <c r="AX65" s="40">
        <f aca="1">IF(AND(Param.SonstigEinmaligKonto6="Festgeld",$A65=Param.SonstigEinmaligJahr6),Param.SonstigEinmaligBetrag6,0)</f>
        <v>0</v>
      </c>
      <c r="AY65" s="40">
        <f aca="1">IF(AND(Param.SonstigEinmaligKonto7="Festgeld",$A65=Param.SonstigEinmaligJahr7),Param.SonstigEinmaligBetrag7,0)</f>
        <v>0</v>
      </c>
      <c r="AZ65" s="40">
        <f aca="1">IF(AND(Param.SonstigEinmaligKonto8="Festgeld",$A65=Param.SonstigEinmaligJahr8),Param.SonstigEinmaligBetrag8,0)</f>
        <v>0</v>
      </c>
      <c r="BA65" s="40">
        <f aca="1">IF(AND(Param.SonstigEinmaligKonto9="Festgeld",$A65=Param.SonstigEinmaligJahr9),Param.SonstigEinmaligBetrag9,0)</f>
        <v>0</v>
      </c>
      <c r="BB65" s="40">
        <f aca="1">IF(AND(Param.SonstigEinmaligKonto10="Festgeld",$A65=Param.SonstigEinmaligJahr10),Param.SonstigEinmaligBetrag10,0)</f>
        <v>0</v>
      </c>
      <c r="BC65" s="40">
        <f aca="1">IF(AND(A65&gt;=Param.FireStartjahr,AP65&gt;0),MIN(N65*R65,AP65),0)</f>
        <v>0</v>
      </c>
      <c r="BD65" s="5">
        <f aca="1">Param.FestgeldZinssatz</f>
        <v>0.02</v>
      </c>
      <c r="BE65" s="40">
        <f>(AP65+AQ65-BC65)*BD65</f>
        <v>0</v>
      </c>
      <c r="BF65" s="40">
        <f aca="1">IF(BE65&gt;Param.SparerPauschbetrag,Param.SparerPauschbetrag,BE65)</f>
        <v>0</v>
      </c>
      <c r="BG65" s="40">
        <f>BE65-BF65</f>
        <v>0</v>
      </c>
      <c r="BH65" s="40">
        <f aca="1">BG65*Param.KapSt</f>
        <v>0</v>
      </c>
      <c r="BI65" s="40">
        <f>BE65-BH65</f>
        <v>0</v>
      </c>
      <c r="BJ65" s="63">
        <f>AP65+SUM(AQ65:BB65)-BC65+BI65</f>
        <v>0</v>
      </c>
      <c r="BK65" s="40">
        <f>AL65+BJ65</f>
        <v>-21626.1458401349009</v>
      </c>
      <c r="BL65" s="40">
        <f aca="1">BK65/(1+Param.Inflationsrate)^(A65-Param.Startjahr)</f>
        <v>-4915.26801842277746</v>
      </c>
      <c r="BM65" s="52">
        <f>IF(BK65&lt;N65,A65,"")</f>
        <v>2086</v>
      </c>
      <c r="BN65" s="40">
        <f>AH65+BC65</f>
        <v>0</v>
      </c>
      <c r="BO65" s="40">
        <f>SUM(AR65:BB65)</f>
        <v>0</v>
      </c>
      <c r="BP65" s="40">
        <f>BN65+(-1*BO65)</f>
        <v>0</v>
      </c>
      <c r="BQ65" s="40">
        <f>AI65+BH65</f>
        <v>0</v>
      </c>
      <c r="BR65" s="5">
        <f>IF(BK65&gt;0,BP65/BK65,0)</f>
        <v>0</v>
      </c>
    </row>
    <row r="66" spans="1:70">
      <c r="A66">
        <f>A65+1</f>
        <v>2087</v>
      </c>
      <c r="B66">
        <f>B8+(59-1)</f>
        <v>91</v>
      </c>
      <c r="C66" s="10">
        <f aca="1">IF(A66&lt;Param.FireStartjahr,0,Param.EntnahmeBetragStart*(1+Param.Inflationsrate)^(A66-Param.Startjahr))</f>
        <v>135293.534776062006</v>
      </c>
      <c r="D66" s="40">
        <f aca="1">IF(OR($A66&lt;Param.SonstigRegelmJahrBeginn1,$A66&gt;Param.SonstigRegelmJahrEnd1),0,Param.SonstigRegelmBetragJaehrl1*(1+Param.SonstigRegelmSteig1)^(A66-Param.SonstigRegelmJahrBeginn1))</f>
        <v>22855.2236735743827</v>
      </c>
      <c r="E66" s="40">
        <f aca="1">IF(OR($A66&lt;Param.SonstigRegelmJahrBeginn2,$A66&gt;Param.SonstigRegelmJahrEnd2),0,Param.SonstigRegelmBetragJaehrl2*(1+Param.SonstigRegelmSteig2)^($A66-Param.SonstigRegelmJahrBeginn2))</f>
        <v>0</v>
      </c>
      <c r="F66" s="40">
        <f aca="1">IF(OR($A66&lt;Param.SonstigRegelmJahrBeginn3,$A66&gt;Param.SonstigRegelmJahrEnd3),0,Param.SonstigRegelmBetragJaehrl3*(1+Param.SonstigRegelmSteig3)^($A66-Param.SonstigRegelmJahrBeginn3))</f>
        <v>0</v>
      </c>
      <c r="G66" s="40">
        <f aca="1">IF(OR($A66&lt;Param.SonstigRegelmJahrBeginn4,$A66&gt;Param.SonstigRegelmJahrEnd4),0,Param.SonstigRegelmBetragJaehrl4*(1+Param.SonstigRegelmSteig4)^($A66-Param.SonstigRegelmJahrBeginn4))</f>
        <v>0</v>
      </c>
      <c r="H66" s="40">
        <f aca="1">IF(OR($A66&lt;Param.SonstigRegelmJahrBeginn5,$A66&gt;Param.SonstigRegelmJahrEnd5),0,Param.SonstigRegelmBetragJaehrl5*(1+Param.SonstigRegelmSteig5)^($A66-Param.SonstigRegelmJahrBeginn5))</f>
        <v>0</v>
      </c>
      <c r="I66" s="40">
        <f aca="1">IF(OR($A66&lt;Param.SonstigRegelmJahrBeginn6,$A66&gt;Param.SonstigRegelmJahrEnd6),0,Param.SonstigRegelmBetragJaehrl6*(1+Param.SonstigRegelmSteig6)^($A66-Param.SonstigRegelmJahrBeginn6))</f>
        <v>0</v>
      </c>
      <c r="J66" s="40">
        <f aca="1">IF(OR($A66&lt;Param.SonstigRegelmJahrBeginn7,$A66&gt;Param.SonstigRegelmJahrEnd7),0,Param.SonstigRegelmBetragJaehrl7*(1+Param.SonstigRegelmSteig7)^($A66-Param.SonstigRegelmJahrBeginn7))</f>
        <v>0</v>
      </c>
      <c r="K66" s="40">
        <f aca="1">IF(OR($A66&lt;Param.SonstigRegelmJahrBeginn8,$A66&gt;Param.SonstigRegelmJahrEnd8),0,Param.SonstigRegelmBetragJaehrl8*(1+Param.SonstigRegelmSteig8)^($A66-Param.SonstigRegelmJahrBeginn8))</f>
        <v>0</v>
      </c>
      <c r="L66" s="40">
        <f aca="1">IF(OR($A66&lt;Param.SonstigRegelmJahrBeginn9,$A66&gt;Param.SonstigRegelmJahrEnd9),0,Param.SonstigRegelmBetragJaehrl9*(1+Param.SonstigRegelmSteig9)^($A66-Param.SonstigRegelmJahrBeginn9))</f>
        <v>0</v>
      </c>
      <c r="M66" s="40">
        <f aca="1">IF(OR($A66&lt;Param.SonstigRegelmJahrBeginn10,$A66&gt;Param.SonstigRegelmJahrEnd10),0,Param.SonstigRegelmBetragJaehrl10*(1+Param.SonstigRegelmSteig10)^($A66-Param.SonstigRegelmJahrBeginn10))</f>
        <v>0</v>
      </c>
      <c r="N66" s="10">
        <f>MAX(0,C66-SUM(D66:M66))</f>
        <v>112438.311102487613</v>
      </c>
      <c r="O66" s="10">
        <f>IF(N66&lt;=0,SUM(D66:M66)-C66,0)</f>
        <v>0</v>
      </c>
      <c r="P66" s="10">
        <f>S66+AP66</f>
        <v>-21626.1458401349009</v>
      </c>
      <c r="Q66" s="11">
        <f>IF(P66&gt;0,S66/P66,0)</f>
        <v>0</v>
      </c>
      <c r="R66" s="11">
        <f>IF(P66&gt;0,AP66/P66,0)</f>
        <v>0</v>
      </c>
      <c r="S66" s="10">
        <f>AL65</f>
        <v>-21626.14584013489</v>
      </c>
      <c r="T66" s="40">
        <f>AM65</f>
        <v>-21071.0178926014996</v>
      </c>
      <c r="U66" s="40">
        <f aca="1">IF(A66&lt;Param.FireStartjahr,Param.SparrateDepotMonatl*12*(1+Param.SparrateDynamikJaehrl)^($A66-Param.Startjahr),0)</f>
        <v>0</v>
      </c>
      <c r="V66" s="40">
        <f aca="1">IF(AND(Param.SonstigEinmaligKonto1="Depot",$A66=Param.SonstigEinmaligJahr1),Param.SonstigEinmaligBetrag1,0)</f>
        <v>0</v>
      </c>
      <c r="W66" s="40">
        <f aca="1">IF(AND(Param.SonstigEinmaligKonto2="Depot",$A66=Param.SonstigEinmaligJahr2),Param.SonstigEinmaligBetrag2,0)</f>
        <v>0</v>
      </c>
      <c r="X66" s="40">
        <f aca="1">IF(AND(Param.SonstigEinmaligKonto3="Depot",$A66=Param.SonstigEinmaligJahr3),Param.SonstigEinmaligBetrag3,0)</f>
        <v>0</v>
      </c>
      <c r="Y66" s="40">
        <f aca="1">IF(AND(Param.SonstigEinmaligKonto4="Depot",$A66=Param.SonstigEinmaligJahr4),Param.SonstigEinmaligBetrag4,0)</f>
        <v>0</v>
      </c>
      <c r="Z66" s="40">
        <f aca="1">IF(AND(Param.SonstigEinmaligKonto5="Depot",$A66=Param.SonstigEinmaligJahr5),Param.SonstigEinmaligBetrag5,0)</f>
        <v>0</v>
      </c>
      <c r="AA66" s="40">
        <f aca="1">IF(AND(Param.SonstigEinmaligKonto6="Depot",$A66=Param.SonstigEinmaligJahr6),Param.SonstigEinmaligBetrag6,0)</f>
        <v>0</v>
      </c>
      <c r="AB66" s="40">
        <f aca="1">IF(AND(Param.SonstigEinmaligKonto7="Depot",$A66=Param.SonstigEinmaligJahr7),Param.SonstigEinmaligBetrag7,0)</f>
        <v>0</v>
      </c>
      <c r="AC66" s="40">
        <f aca="1">IF(AND(Param.SonstigEinmaligKonto8="Depot",$A66=Param.SonstigEinmaligJahr8),Param.SonstigEinmaligBetrag8,0)</f>
        <v>0</v>
      </c>
      <c r="AD66" s="40">
        <f aca="1">IF(AND(Param.SonstigEinmaligKonto9="Depot",$A66=Param.SonstigEinmaligJahr9),Param.SonstigEinmaligBetrag9,0)</f>
        <v>0</v>
      </c>
      <c r="AE66" s="40">
        <f aca="1">IF(AND(Param.SonstigEinmaligKonto10="Depot",$A66=Param.SonstigEinmaligJahr10),Param.SonstigEinmaligBetrag10,0)</f>
        <v>0</v>
      </c>
      <c r="AF66" s="40">
        <f aca="1">Param.SparerPauschbetrag-BF66</f>
        <v>1000</v>
      </c>
      <c r="AG66" s="40">
        <f aca="1">IF(AND(A66&gt;=Param.FireStartjahr,S66&gt;0),MIN(N66*Q66,S66),0)</f>
        <v>0</v>
      </c>
      <c r="AH66" s="40">
        <f aca="1">IF(AG66&lt;=0,0,IF(S66&lt;=0,0,AG66/(1-MAX(0,((T66/S66)*(1-Param.Teilfreistellung)-MIN(AF66,AG66)/AG66)*Param.KapSt))))</f>
        <v>0</v>
      </c>
      <c r="AI66" s="40">
        <f>AH66-AG66</f>
        <v>0</v>
      </c>
      <c r="AJ66" s="40">
        <f>T66-AH66*(T66/S66)</f>
        <v>-21071.0178926014996</v>
      </c>
      <c r="AK66" s="40">
        <f>S66-AH66</f>
        <v>-21626.1458401349009</v>
      </c>
      <c r="AL66" s="40">
        <f>FV(AO66,12,-(U66/12),-AK66,0)</f>
        <v>-22923.7145905421457</v>
      </c>
      <c r="AM66" s="40">
        <f>AJ66+AL66-AK66-U66</f>
        <v>-22368.5866430087008</v>
      </c>
      <c r="AN66" s="5">
        <f>AM66/AL66</f>
        <v>0.975783682642671124</v>
      </c>
      <c r="AO66" s="5">
        <f aca="1">(1+IF(AND(A66&gt;=Param.DepotRenditeSpezBeginn1,A66&lt;=Param.DepotRenditeSpezEnde1),Param.DepotRenditeSpezProz1,IF(AND(A66&gt;=Param.DepotRenditeSpezBeginn2,A66&lt;=Param.DepotRenditeSpezEnde2),Param.DepotRenditeSpezProz2,IF(AND(A66&gt;=Param.DepotRenditeSpezBeginn3,A66&lt;=Param.DepotRenditeSpezEnde3),Param.DepotRenditeSpezProz3,IF(AND(A66&gt;=Param.DepotRenditeSpezBeginn4,A66&lt;=Param.DepotRenditeSpezEnde4),Param.DepotRenditeSpezProz4,IF(AND(A66&gt;=Param.DepotRenditeSpezBeginn5,A66&lt;=Param.DepotRenditeSpezEnde5),Param.DepotRenditeSpezProz5,Param.DepotRenditeDefault))))))^(1/12)-1</f>
        <v>0.00486755056533993979</v>
      </c>
      <c r="AP66" s="40">
        <f>BJ65</f>
        <v>0</v>
      </c>
      <c r="AQ66" s="40">
        <f aca="1">IF(A66&lt;Param.FireStartjahr,Param.SparrateFestgeldMonatl*12*(1+Param.SparrateDynamikJaehrl)^($A66-Param.Startjahr),0)</f>
        <v>0</v>
      </c>
      <c r="AR66" s="40">
        <f>O66</f>
        <v>0</v>
      </c>
      <c r="AS66" s="40">
        <f aca="1">IF(AND(Param.SonstigEinmaligKonto1="Festgeld",$A66=Param.SonstigEinmaligJahr1),Param.SonstigEinmaligBetrag1,0)</f>
        <v>0</v>
      </c>
      <c r="AT66" s="40">
        <f aca="1">IF(AND(Param.SonstigEinmaligKonto2="Festgeld",$A66=Param.SonstigEinmaligJahr2),Param.SonstigEinmaligBetrag2,0)</f>
        <v>0</v>
      </c>
      <c r="AU66" s="40">
        <f aca="1">IF(AND(Param.SonstigEinmaligKonto3="Festgeld",$A66=Param.SonstigEinmaligJahr3),Param.SonstigEinmaligBetrag3,0)</f>
        <v>0</v>
      </c>
      <c r="AV66" s="40">
        <f aca="1">IF(AND(Param.SonstigEinmaligKonto4="Festgeld",$A66=Param.SonstigEinmaligJahr4),Param.SonstigEinmaligBetrag4,0)</f>
        <v>0</v>
      </c>
      <c r="AW66" s="40">
        <f aca="1">IF(AND(Param.SonstigEinmaligKonto5="Festgeld",$A66=Param.SonstigEinmaligJahr5),Param.SonstigEinmaligBetrag5,0)</f>
        <v>0</v>
      </c>
      <c r="AX66" s="40">
        <f aca="1">IF(AND(Param.SonstigEinmaligKonto6="Festgeld",$A66=Param.SonstigEinmaligJahr6),Param.SonstigEinmaligBetrag6,0)</f>
        <v>0</v>
      </c>
      <c r="AY66" s="40">
        <f aca="1">IF(AND(Param.SonstigEinmaligKonto7="Festgeld",$A66=Param.SonstigEinmaligJahr7),Param.SonstigEinmaligBetrag7,0)</f>
        <v>0</v>
      </c>
      <c r="AZ66" s="40">
        <f aca="1">IF(AND(Param.SonstigEinmaligKonto8="Festgeld",$A66=Param.SonstigEinmaligJahr8),Param.SonstigEinmaligBetrag8,0)</f>
        <v>0</v>
      </c>
      <c r="BA66" s="40">
        <f aca="1">IF(AND(Param.SonstigEinmaligKonto9="Festgeld",$A66=Param.SonstigEinmaligJahr9),Param.SonstigEinmaligBetrag9,0)</f>
        <v>0</v>
      </c>
      <c r="BB66" s="40">
        <f aca="1">IF(AND(Param.SonstigEinmaligKonto10="Festgeld",$A66=Param.SonstigEinmaligJahr10),Param.SonstigEinmaligBetrag10,0)</f>
        <v>0</v>
      </c>
      <c r="BC66" s="40">
        <f aca="1">IF(AND(A66&gt;=Param.FireStartjahr,AP66&gt;0),MIN(N66*R66,AP66),0)</f>
        <v>0</v>
      </c>
      <c r="BD66" s="5">
        <f aca="1">Param.FestgeldZinssatz</f>
        <v>0.02</v>
      </c>
      <c r="BE66" s="40">
        <f>(AP66+AQ66-BC66)*BD66</f>
        <v>0</v>
      </c>
      <c r="BF66" s="40">
        <f aca="1">IF(BE66&gt;Param.SparerPauschbetrag,Param.SparerPauschbetrag,BE66)</f>
        <v>0</v>
      </c>
      <c r="BG66" s="40">
        <f>BE66-BF66</f>
        <v>0</v>
      </c>
      <c r="BH66" s="40">
        <f aca="1">BG66*Param.KapSt</f>
        <v>0</v>
      </c>
      <c r="BI66" s="40">
        <f>BE66-BH66</f>
        <v>0</v>
      </c>
      <c r="BJ66" s="63">
        <f>AP66+SUM(AQ66:BB66)-BC66+BI66</f>
        <v>0</v>
      </c>
      <c r="BK66" s="40">
        <f>AL66+BJ66</f>
        <v>-22923.7145905420984</v>
      </c>
      <c r="BL66" s="40">
        <f aca="1">BK66/(1+Param.Inflationsrate)^(A66-Param.Startjahr)</f>
        <v>-5083.10643856385104</v>
      </c>
      <c r="BM66" s="52">
        <f>IF(BK66&lt;N66,A66,"")</f>
        <v>2087</v>
      </c>
      <c r="BN66" s="40">
        <f>AH66+BC66</f>
        <v>0</v>
      </c>
      <c r="BO66" s="40">
        <f>SUM(AR66:BB66)</f>
        <v>0</v>
      </c>
      <c r="BP66" s="40">
        <f>BN66+(-1*BO66)</f>
        <v>0</v>
      </c>
      <c r="BQ66" s="40">
        <f>AI66+BH66</f>
        <v>0</v>
      </c>
      <c r="BR66" s="5">
        <f>IF(BK66&gt;0,BP66/BK66,0)</f>
        <v>0</v>
      </c>
    </row>
    <row r="67" spans="1:70">
      <c r="A67">
        <f>A66+1</f>
        <v>2088</v>
      </c>
      <c r="B67">
        <f>B9+(59-1)</f>
        <v>92</v>
      </c>
      <c r="C67" s="10">
        <f aca="1">IF(A67&lt;Param.FireStartjahr,0,Param.EntnahmeBetragStart*(1+Param.Inflationsrate)^(A67-Param.Startjahr))</f>
        <v>138675.873145463411</v>
      </c>
      <c r="D67" s="40">
        <f aca="1">IF(OR($A67&lt;Param.SonstigRegelmJahrBeginn1,$A67&gt;Param.SonstigRegelmJahrEnd1),0,Param.SonstigRegelmBetragJaehrl1*(1+Param.SonstigRegelmSteig1)^(A67-Param.SonstigRegelmJahrBeginn1))</f>
        <v>23083.7759103101416</v>
      </c>
      <c r="E67" s="40">
        <f aca="1">IF(OR($A67&lt;Param.SonstigRegelmJahrBeginn2,$A67&gt;Param.SonstigRegelmJahrEnd2),0,Param.SonstigRegelmBetragJaehrl2*(1+Param.SonstigRegelmSteig2)^($A67-Param.SonstigRegelmJahrBeginn2))</f>
        <v>0</v>
      </c>
      <c r="F67" s="40">
        <f aca="1">IF(OR($A67&lt;Param.SonstigRegelmJahrBeginn3,$A67&gt;Param.SonstigRegelmJahrEnd3),0,Param.SonstigRegelmBetragJaehrl3*(1+Param.SonstigRegelmSteig3)^($A67-Param.SonstigRegelmJahrBeginn3))</f>
        <v>0</v>
      </c>
      <c r="G67" s="40">
        <f aca="1">IF(OR($A67&lt;Param.SonstigRegelmJahrBeginn4,$A67&gt;Param.SonstigRegelmJahrEnd4),0,Param.SonstigRegelmBetragJaehrl4*(1+Param.SonstigRegelmSteig4)^($A67-Param.SonstigRegelmJahrBeginn4))</f>
        <v>0</v>
      </c>
      <c r="H67" s="40">
        <f aca="1">IF(OR($A67&lt;Param.SonstigRegelmJahrBeginn5,$A67&gt;Param.SonstigRegelmJahrEnd5),0,Param.SonstigRegelmBetragJaehrl5*(1+Param.SonstigRegelmSteig5)^($A67-Param.SonstigRegelmJahrBeginn5))</f>
        <v>0</v>
      </c>
      <c r="I67" s="40">
        <f aca="1">IF(OR($A67&lt;Param.SonstigRegelmJahrBeginn6,$A67&gt;Param.SonstigRegelmJahrEnd6),0,Param.SonstigRegelmBetragJaehrl6*(1+Param.SonstigRegelmSteig6)^($A67-Param.SonstigRegelmJahrBeginn6))</f>
        <v>0</v>
      </c>
      <c r="J67" s="40">
        <f aca="1">IF(OR($A67&lt;Param.SonstigRegelmJahrBeginn7,$A67&gt;Param.SonstigRegelmJahrEnd7),0,Param.SonstigRegelmBetragJaehrl7*(1+Param.SonstigRegelmSteig7)^($A67-Param.SonstigRegelmJahrBeginn7))</f>
        <v>0</v>
      </c>
      <c r="K67" s="40">
        <f aca="1">IF(OR($A67&lt;Param.SonstigRegelmJahrBeginn8,$A67&gt;Param.SonstigRegelmJahrEnd8),0,Param.SonstigRegelmBetragJaehrl8*(1+Param.SonstigRegelmSteig8)^($A67-Param.SonstigRegelmJahrBeginn8))</f>
        <v>0</v>
      </c>
      <c r="L67" s="40">
        <f aca="1">IF(OR($A67&lt;Param.SonstigRegelmJahrBeginn9,$A67&gt;Param.SonstigRegelmJahrEnd9),0,Param.SonstigRegelmBetragJaehrl9*(1+Param.SonstigRegelmSteig9)^($A67-Param.SonstigRegelmJahrBeginn9))</f>
        <v>0</v>
      </c>
      <c r="M67" s="40">
        <f aca="1">IF(OR($A67&lt;Param.SonstigRegelmJahrBeginn10,$A67&gt;Param.SonstigRegelmJahrEnd10),0,Param.SonstigRegelmBetragJaehrl10*(1+Param.SonstigRegelmSteig10)^($A67-Param.SonstigRegelmJahrBeginn10))</f>
        <v>0</v>
      </c>
      <c r="N67" s="10">
        <f>MAX(0,C67-SUM(D67:M67))</f>
        <v>115592.097235152905</v>
      </c>
      <c r="O67" s="10">
        <f>IF(N67&lt;=0,SUM(D67:M67)-C67,0)</f>
        <v>0</v>
      </c>
      <c r="P67" s="10">
        <f>S67+AP67</f>
        <v>-22923.7145905420984</v>
      </c>
      <c r="Q67" s="11">
        <f>IF(P67&gt;0,S67/P67,0)</f>
        <v>0</v>
      </c>
      <c r="R67" s="11">
        <f>IF(P67&gt;0,AP67/P67,0)</f>
        <v>0</v>
      </c>
      <c r="S67" s="10">
        <f>AL66</f>
        <v>-22923.7145905421457</v>
      </c>
      <c r="T67" s="40">
        <f>AM66</f>
        <v>-22368.5866430087008</v>
      </c>
      <c r="U67" s="40">
        <f aca="1">IF(A67&lt;Param.FireStartjahr,Param.SparrateDepotMonatl*12*(1+Param.SparrateDynamikJaehrl)^($A67-Param.Startjahr),0)</f>
        <v>0</v>
      </c>
      <c r="V67" s="40">
        <f aca="1">IF(AND(Param.SonstigEinmaligKonto1="Depot",$A67=Param.SonstigEinmaligJahr1),Param.SonstigEinmaligBetrag1,0)</f>
        <v>0</v>
      </c>
      <c r="W67" s="40">
        <f aca="1">IF(AND(Param.SonstigEinmaligKonto2="Depot",$A67=Param.SonstigEinmaligJahr2),Param.SonstigEinmaligBetrag2,0)</f>
        <v>0</v>
      </c>
      <c r="X67" s="40">
        <f aca="1">IF(AND(Param.SonstigEinmaligKonto3="Depot",$A67=Param.SonstigEinmaligJahr3),Param.SonstigEinmaligBetrag3,0)</f>
        <v>0</v>
      </c>
      <c r="Y67" s="40">
        <f aca="1">IF(AND(Param.SonstigEinmaligKonto4="Depot",$A67=Param.SonstigEinmaligJahr4),Param.SonstigEinmaligBetrag4,0)</f>
        <v>0</v>
      </c>
      <c r="Z67" s="40">
        <f aca="1">IF(AND(Param.SonstigEinmaligKonto5="Depot",$A67=Param.SonstigEinmaligJahr5),Param.SonstigEinmaligBetrag5,0)</f>
        <v>0</v>
      </c>
      <c r="AA67" s="40">
        <f aca="1">IF(AND(Param.SonstigEinmaligKonto6="Depot",$A67=Param.SonstigEinmaligJahr6),Param.SonstigEinmaligBetrag6,0)</f>
        <v>0</v>
      </c>
      <c r="AB67" s="40">
        <f aca="1">IF(AND(Param.SonstigEinmaligKonto7="Depot",$A67=Param.SonstigEinmaligJahr7),Param.SonstigEinmaligBetrag7,0)</f>
        <v>0</v>
      </c>
      <c r="AC67" s="40">
        <f aca="1">IF(AND(Param.SonstigEinmaligKonto8="Depot",$A67=Param.SonstigEinmaligJahr8),Param.SonstigEinmaligBetrag8,0)</f>
        <v>0</v>
      </c>
      <c r="AD67" s="40">
        <f aca="1">IF(AND(Param.SonstigEinmaligKonto9="Depot",$A67=Param.SonstigEinmaligJahr9),Param.SonstigEinmaligBetrag9,0)</f>
        <v>0</v>
      </c>
      <c r="AE67" s="40">
        <f aca="1">IF(AND(Param.SonstigEinmaligKonto10="Depot",$A67=Param.SonstigEinmaligJahr10),Param.SonstigEinmaligBetrag10,0)</f>
        <v>0</v>
      </c>
      <c r="AF67" s="40">
        <f aca="1">Param.SparerPauschbetrag-BF67</f>
        <v>1000</v>
      </c>
      <c r="AG67" s="40">
        <f aca="1">IF(AND(A67&gt;=Param.FireStartjahr,S67&gt;0),MIN(N67*Q67,S67),0)</f>
        <v>0</v>
      </c>
      <c r="AH67" s="40">
        <f aca="1">IF(AG67&lt;=0,0,IF(S67&lt;=0,0,AG67/(1-MAX(0,((T67/S67)*(1-Param.Teilfreistellung)-MIN(AF67,AG67)/AG67)*Param.KapSt))))</f>
        <v>0</v>
      </c>
      <c r="AI67" s="40">
        <f>AH67-AG67</f>
        <v>0</v>
      </c>
      <c r="AJ67" s="40">
        <f>T67-AH67*(T67/S67)</f>
        <v>-22368.5866430087008</v>
      </c>
      <c r="AK67" s="40">
        <f>S67-AH67</f>
        <v>-22923.7145905420984</v>
      </c>
      <c r="AL67" s="40">
        <f>FV(AO67,12,-(U67/12),-AK67,0)</f>
        <v>-24299.137465973723</v>
      </c>
      <c r="AM67" s="40">
        <f>AJ67+AL67-AK67-U67</f>
        <v>-23744.0095184402999</v>
      </c>
      <c r="AN67" s="5">
        <f>AM67/AL67</f>
        <v>0.97715441758742454</v>
      </c>
      <c r="AO67" s="5">
        <f aca="1">(1+IF(AND(A67&gt;=Param.DepotRenditeSpezBeginn1,A67&lt;=Param.DepotRenditeSpezEnde1),Param.DepotRenditeSpezProz1,IF(AND(A67&gt;=Param.DepotRenditeSpezBeginn2,A67&lt;=Param.DepotRenditeSpezEnde2),Param.DepotRenditeSpezProz2,IF(AND(A67&gt;=Param.DepotRenditeSpezBeginn3,A67&lt;=Param.DepotRenditeSpezEnde3),Param.DepotRenditeSpezProz3,IF(AND(A67&gt;=Param.DepotRenditeSpezBeginn4,A67&lt;=Param.DepotRenditeSpezEnde4),Param.DepotRenditeSpezProz4,IF(AND(A67&gt;=Param.DepotRenditeSpezBeginn5,A67&lt;=Param.DepotRenditeSpezEnde5),Param.DepotRenditeSpezProz5,Param.DepotRenditeDefault))))))^(1/12)-1</f>
        <v>0.00486755056533993979</v>
      </c>
      <c r="AP67" s="40">
        <f>BJ66</f>
        <v>0</v>
      </c>
      <c r="AQ67" s="40">
        <f aca="1">IF(A67&lt;Param.FireStartjahr,Param.SparrateFestgeldMonatl*12*(1+Param.SparrateDynamikJaehrl)^($A67-Param.Startjahr),0)</f>
        <v>0</v>
      </c>
      <c r="AR67" s="40">
        <f>O67</f>
        <v>0</v>
      </c>
      <c r="AS67" s="40">
        <f aca="1">IF(AND(Param.SonstigEinmaligKonto1="Festgeld",$A67=Param.SonstigEinmaligJahr1),Param.SonstigEinmaligBetrag1,0)</f>
        <v>0</v>
      </c>
      <c r="AT67" s="40">
        <f aca="1">IF(AND(Param.SonstigEinmaligKonto2="Festgeld",$A67=Param.SonstigEinmaligJahr2),Param.SonstigEinmaligBetrag2,0)</f>
        <v>0</v>
      </c>
      <c r="AU67" s="40">
        <f aca="1">IF(AND(Param.SonstigEinmaligKonto3="Festgeld",$A67=Param.SonstigEinmaligJahr3),Param.SonstigEinmaligBetrag3,0)</f>
        <v>0</v>
      </c>
      <c r="AV67" s="40">
        <f aca="1">IF(AND(Param.SonstigEinmaligKonto4="Festgeld",$A67=Param.SonstigEinmaligJahr4),Param.SonstigEinmaligBetrag4,0)</f>
        <v>0</v>
      </c>
      <c r="AW67" s="40">
        <f aca="1">IF(AND(Param.SonstigEinmaligKonto5="Festgeld",$A67=Param.SonstigEinmaligJahr5),Param.SonstigEinmaligBetrag5,0)</f>
        <v>0</v>
      </c>
      <c r="AX67" s="40">
        <f aca="1">IF(AND(Param.SonstigEinmaligKonto6="Festgeld",$A67=Param.SonstigEinmaligJahr6),Param.SonstigEinmaligBetrag6,0)</f>
        <v>0</v>
      </c>
      <c r="AY67" s="40">
        <f aca="1">IF(AND(Param.SonstigEinmaligKonto7="Festgeld",$A67=Param.SonstigEinmaligJahr7),Param.SonstigEinmaligBetrag7,0)</f>
        <v>0</v>
      </c>
      <c r="AZ67" s="40">
        <f aca="1">IF(AND(Param.SonstigEinmaligKonto8="Festgeld",$A67=Param.SonstigEinmaligJahr8),Param.SonstigEinmaligBetrag8,0)</f>
        <v>0</v>
      </c>
      <c r="BA67" s="40">
        <f aca="1">IF(AND(Param.SonstigEinmaligKonto9="Festgeld",$A67=Param.SonstigEinmaligJahr9),Param.SonstigEinmaligBetrag9,0)</f>
        <v>0</v>
      </c>
      <c r="BB67" s="40">
        <f aca="1">IF(AND(Param.SonstigEinmaligKonto10="Festgeld",$A67=Param.SonstigEinmaligJahr10),Param.SonstigEinmaligBetrag10,0)</f>
        <v>0</v>
      </c>
      <c r="BC67" s="40">
        <f aca="1">IF(AND(A67&gt;=Param.FireStartjahr,AP67&gt;0),MIN(N67*R67,AP67),0)</f>
        <v>0</v>
      </c>
      <c r="BD67" s="5">
        <f aca="1">Param.FestgeldZinssatz</f>
        <v>0.02</v>
      </c>
      <c r="BE67" s="40">
        <f>(AP67+AQ67-BC67)*BD67</f>
        <v>0</v>
      </c>
      <c r="BF67" s="40">
        <f aca="1">IF(BE67&gt;Param.SparerPauschbetrag,Param.SparerPauschbetrag,BE67)</f>
        <v>0</v>
      </c>
      <c r="BG67" s="40">
        <f>BE67-BF67</f>
        <v>0</v>
      </c>
      <c r="BH67" s="40">
        <f aca="1">BG67*Param.KapSt</f>
        <v>0</v>
      </c>
      <c r="BI67" s="40">
        <f>BE67-BH67</f>
        <v>0</v>
      </c>
      <c r="BJ67" s="63">
        <f>AP67+SUM(AQ67:BB67)-BC67+BI67</f>
        <v>0</v>
      </c>
      <c r="BK67" s="40">
        <f>AL67+BJ67</f>
        <v>-24299.1374659737012</v>
      </c>
      <c r="BL67" s="40">
        <f aca="1">BK67/(1+Param.Inflationsrate)^(A67-Param.Startjahr)</f>
        <v>-5256.67592670973863</v>
      </c>
      <c r="BM67" s="52">
        <f>IF(BK67&lt;N67,A67,"")</f>
        <v>2088</v>
      </c>
      <c r="BN67" s="40">
        <f>AH67+BC67</f>
        <v>0</v>
      </c>
      <c r="BO67" s="40">
        <f>SUM(AR67:BB67)</f>
        <v>0</v>
      </c>
      <c r="BP67" s="40">
        <f>BN67+(-1*BO67)</f>
        <v>0</v>
      </c>
      <c r="BQ67" s="40">
        <f>AI67+BH67</f>
        <v>0</v>
      </c>
      <c r="BR67" s="5">
        <f>IF(BK67&gt;0,BP67/BK67,0)</f>
        <v>0</v>
      </c>
    </row>
    <row r="68" spans="1:70">
      <c r="A68">
        <f>A67+1</f>
        <v>2089</v>
      </c>
      <c r="B68">
        <f>B10+(59-1)</f>
        <v>93</v>
      </c>
      <c r="C68" s="10">
        <f aca="1">IF(A68&lt;Param.FireStartjahr,0,Param.EntnahmeBetragStart*(1+Param.Inflationsrate)^(A68-Param.Startjahr))</f>
        <v>142142.769974099996</v>
      </c>
      <c r="D68" s="40">
        <f aca="1">IF(OR($A68&lt;Param.SonstigRegelmJahrBeginn1,$A68&gt;Param.SonstigRegelmJahrEnd1),0,Param.SonstigRegelmBetragJaehrl1*(1+Param.SonstigRegelmSteig1)^(A68-Param.SonstigRegelmJahrBeginn1))</f>
        <v>23314.6136694133784</v>
      </c>
      <c r="E68" s="40">
        <f aca="1">IF(OR($A68&lt;Param.SonstigRegelmJahrBeginn2,$A68&gt;Param.SonstigRegelmJahrEnd2),0,Param.SonstigRegelmBetragJaehrl2*(1+Param.SonstigRegelmSteig2)^($A68-Param.SonstigRegelmJahrBeginn2))</f>
        <v>0</v>
      </c>
      <c r="F68" s="40">
        <f aca="1">IF(OR($A68&lt;Param.SonstigRegelmJahrBeginn3,$A68&gt;Param.SonstigRegelmJahrEnd3),0,Param.SonstigRegelmBetragJaehrl3*(1+Param.SonstigRegelmSteig3)^($A68-Param.SonstigRegelmJahrBeginn3))</f>
        <v>0</v>
      </c>
      <c r="G68" s="40">
        <f aca="1">IF(OR($A68&lt;Param.SonstigRegelmJahrBeginn4,$A68&gt;Param.SonstigRegelmJahrEnd4),0,Param.SonstigRegelmBetragJaehrl4*(1+Param.SonstigRegelmSteig4)^($A68-Param.SonstigRegelmJahrBeginn4))</f>
        <v>0</v>
      </c>
      <c r="H68" s="40">
        <f aca="1">IF(OR($A68&lt;Param.SonstigRegelmJahrBeginn5,$A68&gt;Param.SonstigRegelmJahrEnd5),0,Param.SonstigRegelmBetragJaehrl5*(1+Param.SonstigRegelmSteig5)^($A68-Param.SonstigRegelmJahrBeginn5))</f>
        <v>0</v>
      </c>
      <c r="I68" s="40">
        <f aca="1">IF(OR($A68&lt;Param.SonstigRegelmJahrBeginn6,$A68&gt;Param.SonstigRegelmJahrEnd6),0,Param.SonstigRegelmBetragJaehrl6*(1+Param.SonstigRegelmSteig6)^($A68-Param.SonstigRegelmJahrBeginn6))</f>
        <v>0</v>
      </c>
      <c r="J68" s="40">
        <f aca="1">IF(OR($A68&lt;Param.SonstigRegelmJahrBeginn7,$A68&gt;Param.SonstigRegelmJahrEnd7),0,Param.SonstigRegelmBetragJaehrl7*(1+Param.SonstigRegelmSteig7)^($A68-Param.SonstigRegelmJahrBeginn7))</f>
        <v>0</v>
      </c>
      <c r="K68" s="40">
        <f aca="1">IF(OR($A68&lt;Param.SonstigRegelmJahrBeginn8,$A68&gt;Param.SonstigRegelmJahrEnd8),0,Param.SonstigRegelmBetragJaehrl8*(1+Param.SonstigRegelmSteig8)^($A68-Param.SonstigRegelmJahrBeginn8))</f>
        <v>0</v>
      </c>
      <c r="L68" s="40">
        <f aca="1">IF(OR($A68&lt;Param.SonstigRegelmJahrBeginn9,$A68&gt;Param.SonstigRegelmJahrEnd9),0,Param.SonstigRegelmBetragJaehrl9*(1+Param.SonstigRegelmSteig9)^($A68-Param.SonstigRegelmJahrBeginn9))</f>
        <v>0</v>
      </c>
      <c r="M68" s="40">
        <f aca="1">IF(OR($A68&lt;Param.SonstigRegelmJahrBeginn10,$A68&gt;Param.SonstigRegelmJahrEnd10),0,Param.SonstigRegelmBetragJaehrl10*(1+Param.SonstigRegelmSteig10)^($A68-Param.SonstigRegelmJahrBeginn10))</f>
        <v>0</v>
      </c>
      <c r="N68" s="10">
        <f>MAX(0,C68-SUM(D68:M68))</f>
        <v>118828.156304686592</v>
      </c>
      <c r="O68" s="10">
        <f>IF(N68&lt;=0,SUM(D68:M68)-C68,0)</f>
        <v>0</v>
      </c>
      <c r="P68" s="10">
        <f>S68+AP68</f>
        <v>-24299.1374659737012</v>
      </c>
      <c r="Q68" s="11">
        <f>IF(P68&gt;0,S68/P68,0)</f>
        <v>0</v>
      </c>
      <c r="R68" s="11">
        <f>IF(P68&gt;0,AP68/P68,0)</f>
        <v>0</v>
      </c>
      <c r="S68" s="10">
        <f>AL67</f>
        <v>-24299.137465973723</v>
      </c>
      <c r="T68" s="40">
        <f>AM67</f>
        <v>-23744.0095184402999</v>
      </c>
      <c r="U68" s="40">
        <f aca="1">IF(A68&lt;Param.FireStartjahr,Param.SparrateDepotMonatl*12*(1+Param.SparrateDynamikJaehrl)^($A68-Param.Startjahr),0)</f>
        <v>0</v>
      </c>
      <c r="V68" s="40">
        <f aca="1">IF(AND(Param.SonstigEinmaligKonto1="Depot",$A68=Param.SonstigEinmaligJahr1),Param.SonstigEinmaligBetrag1,0)</f>
        <v>0</v>
      </c>
      <c r="W68" s="40">
        <f aca="1">IF(AND(Param.SonstigEinmaligKonto2="Depot",$A68=Param.SonstigEinmaligJahr2),Param.SonstigEinmaligBetrag2,0)</f>
        <v>0</v>
      </c>
      <c r="X68" s="40">
        <f aca="1">IF(AND(Param.SonstigEinmaligKonto3="Depot",$A68=Param.SonstigEinmaligJahr3),Param.SonstigEinmaligBetrag3,0)</f>
        <v>0</v>
      </c>
      <c r="Y68" s="40">
        <f aca="1">IF(AND(Param.SonstigEinmaligKonto4="Depot",$A68=Param.SonstigEinmaligJahr4),Param.SonstigEinmaligBetrag4,0)</f>
        <v>0</v>
      </c>
      <c r="Z68" s="40">
        <f aca="1">IF(AND(Param.SonstigEinmaligKonto5="Depot",$A68=Param.SonstigEinmaligJahr5),Param.SonstigEinmaligBetrag5,0)</f>
        <v>0</v>
      </c>
      <c r="AA68" s="40">
        <f aca="1">IF(AND(Param.SonstigEinmaligKonto6="Depot",$A68=Param.SonstigEinmaligJahr6),Param.SonstigEinmaligBetrag6,0)</f>
        <v>0</v>
      </c>
      <c r="AB68" s="40">
        <f aca="1">IF(AND(Param.SonstigEinmaligKonto7="Depot",$A68=Param.SonstigEinmaligJahr7),Param.SonstigEinmaligBetrag7,0)</f>
        <v>0</v>
      </c>
      <c r="AC68" s="40">
        <f aca="1">IF(AND(Param.SonstigEinmaligKonto8="Depot",$A68=Param.SonstigEinmaligJahr8),Param.SonstigEinmaligBetrag8,0)</f>
        <v>0</v>
      </c>
      <c r="AD68" s="40">
        <f aca="1">IF(AND(Param.SonstigEinmaligKonto9="Depot",$A68=Param.SonstigEinmaligJahr9),Param.SonstigEinmaligBetrag9,0)</f>
        <v>0</v>
      </c>
      <c r="AE68" s="40">
        <f aca="1">IF(AND(Param.SonstigEinmaligKonto10="Depot",$A68=Param.SonstigEinmaligJahr10),Param.SonstigEinmaligBetrag10,0)</f>
        <v>0</v>
      </c>
      <c r="AF68" s="40">
        <f aca="1">Param.SparerPauschbetrag-BF68</f>
        <v>1000</v>
      </c>
      <c r="AG68" s="40">
        <f aca="1">IF(AND(A68&gt;=Param.FireStartjahr,S68&gt;0),MIN(N68*Q68,S68),0)</f>
        <v>0</v>
      </c>
      <c r="AH68" s="40">
        <f aca="1">IF(AG68&lt;=0,0,IF(S68&lt;=0,0,AG68/(1-MAX(0,((T68/S68)*(1-Param.Teilfreistellung)-MIN(AF68,AG68)/AG68)*Param.KapSt))))</f>
        <v>0</v>
      </c>
      <c r="AI68" s="40">
        <f>AH68-AG68</f>
        <v>0</v>
      </c>
      <c r="AJ68" s="40">
        <f>T68-AH68*(T68/S68)</f>
        <v>-23744.0095184402999</v>
      </c>
      <c r="AK68" s="40">
        <f>S68-AH68</f>
        <v>-24299.1374659737012</v>
      </c>
      <c r="AL68" s="40">
        <f>FV(AO68,12,-(U68/12),-AK68,0)</f>
        <v>-25757.0857139311702</v>
      </c>
      <c r="AM68" s="40">
        <f>AJ68+AL68-AK68-U68</f>
        <v>-25201.9577663978016</v>
      </c>
      <c r="AN68" s="5">
        <f>AM68/AL68</f>
        <v>0.978447563761720751</v>
      </c>
      <c r="AO68" s="5">
        <f aca="1">(1+IF(AND(A68&gt;=Param.DepotRenditeSpezBeginn1,A68&lt;=Param.DepotRenditeSpezEnde1),Param.DepotRenditeSpezProz1,IF(AND(A68&gt;=Param.DepotRenditeSpezBeginn2,A68&lt;=Param.DepotRenditeSpezEnde2),Param.DepotRenditeSpezProz2,IF(AND(A68&gt;=Param.DepotRenditeSpezBeginn3,A68&lt;=Param.DepotRenditeSpezEnde3),Param.DepotRenditeSpezProz3,IF(AND(A68&gt;=Param.DepotRenditeSpezBeginn4,A68&lt;=Param.DepotRenditeSpezEnde4),Param.DepotRenditeSpezProz4,IF(AND(A68&gt;=Param.DepotRenditeSpezBeginn5,A68&lt;=Param.DepotRenditeSpezEnde5),Param.DepotRenditeSpezProz5,Param.DepotRenditeDefault))))))^(1/12)-1</f>
        <v>0.00486755056533993979</v>
      </c>
      <c r="AP68" s="40">
        <f>BJ67</f>
        <v>0</v>
      </c>
      <c r="AQ68" s="40">
        <f aca="1">IF(A68&lt;Param.FireStartjahr,Param.SparrateFestgeldMonatl*12*(1+Param.SparrateDynamikJaehrl)^($A68-Param.Startjahr),0)</f>
        <v>0</v>
      </c>
      <c r="AR68" s="40">
        <f>O68</f>
        <v>0</v>
      </c>
      <c r="AS68" s="40">
        <f aca="1">IF(AND(Param.SonstigEinmaligKonto1="Festgeld",$A68=Param.SonstigEinmaligJahr1),Param.SonstigEinmaligBetrag1,0)</f>
        <v>0</v>
      </c>
      <c r="AT68" s="40">
        <f aca="1">IF(AND(Param.SonstigEinmaligKonto2="Festgeld",$A68=Param.SonstigEinmaligJahr2),Param.SonstigEinmaligBetrag2,0)</f>
        <v>0</v>
      </c>
      <c r="AU68" s="40">
        <f aca="1">IF(AND(Param.SonstigEinmaligKonto3="Festgeld",$A68=Param.SonstigEinmaligJahr3),Param.SonstigEinmaligBetrag3,0)</f>
        <v>0</v>
      </c>
      <c r="AV68" s="40">
        <f aca="1">IF(AND(Param.SonstigEinmaligKonto4="Festgeld",$A68=Param.SonstigEinmaligJahr4),Param.SonstigEinmaligBetrag4,0)</f>
        <v>0</v>
      </c>
      <c r="AW68" s="40">
        <f aca="1">IF(AND(Param.SonstigEinmaligKonto5="Festgeld",$A68=Param.SonstigEinmaligJahr5),Param.SonstigEinmaligBetrag5,0)</f>
        <v>0</v>
      </c>
      <c r="AX68" s="40">
        <f aca="1">IF(AND(Param.SonstigEinmaligKonto6="Festgeld",$A68=Param.SonstigEinmaligJahr6),Param.SonstigEinmaligBetrag6,0)</f>
        <v>0</v>
      </c>
      <c r="AY68" s="40">
        <f aca="1">IF(AND(Param.SonstigEinmaligKonto7="Festgeld",$A68=Param.SonstigEinmaligJahr7),Param.SonstigEinmaligBetrag7,0)</f>
        <v>0</v>
      </c>
      <c r="AZ68" s="40">
        <f aca="1">IF(AND(Param.SonstigEinmaligKonto8="Festgeld",$A68=Param.SonstigEinmaligJahr8),Param.SonstigEinmaligBetrag8,0)</f>
        <v>0</v>
      </c>
      <c r="BA68" s="40">
        <f aca="1">IF(AND(Param.SonstigEinmaligKonto9="Festgeld",$A68=Param.SonstigEinmaligJahr9),Param.SonstigEinmaligBetrag9,0)</f>
        <v>0</v>
      </c>
      <c r="BB68" s="40">
        <f aca="1">IF(AND(Param.SonstigEinmaligKonto10="Festgeld",$A68=Param.SonstigEinmaligJahr10),Param.SonstigEinmaligBetrag10,0)</f>
        <v>0</v>
      </c>
      <c r="BC68" s="40">
        <f aca="1">IF(AND(A68&gt;=Param.FireStartjahr,AP68&gt;0),MIN(N68*R68,AP68),0)</f>
        <v>0</v>
      </c>
      <c r="BD68" s="5">
        <f aca="1">Param.FestgeldZinssatz</f>
        <v>0.02</v>
      </c>
      <c r="BE68" s="40">
        <f>(AP68+AQ68-BC68)*BD68</f>
        <v>0</v>
      </c>
      <c r="BF68" s="40">
        <f aca="1">IF(BE68&gt;Param.SparerPauschbetrag,Param.SparerPauschbetrag,BE68)</f>
        <v>0</v>
      </c>
      <c r="BG68" s="40">
        <f>BE68-BF68</f>
        <v>0</v>
      </c>
      <c r="BH68" s="40">
        <f aca="1">BG68*Param.KapSt</f>
        <v>0</v>
      </c>
      <c r="BI68" s="40">
        <f>BE68-BH68</f>
        <v>0</v>
      </c>
      <c r="BJ68" s="63">
        <f>AP68+SUM(AQ68:BB68)-BC68+BI68</f>
        <v>0</v>
      </c>
      <c r="BK68" s="40">
        <f>AL68+BJ68</f>
        <v>-25757.0857139311993</v>
      </c>
      <c r="BL68" s="40">
        <f aca="1">BK68/(1+Param.Inflationsrate)^(A68-Param.Startjahr)</f>
        <v>-5436.17217786548554</v>
      </c>
      <c r="BM68" s="52">
        <f>IF(BK68&lt;N68,A68,"")</f>
        <v>2089</v>
      </c>
      <c r="BN68" s="40">
        <f>AH68+BC68</f>
        <v>0</v>
      </c>
      <c r="BO68" s="40">
        <f>SUM(AR68:BB68)</f>
        <v>0</v>
      </c>
      <c r="BP68" s="40">
        <f>BN68+(-1*BO68)</f>
        <v>0</v>
      </c>
      <c r="BQ68" s="40">
        <f>AI68+BH68</f>
        <v>0</v>
      </c>
      <c r="BR68" s="5">
        <f>IF(BK68&gt;0,BP68/BK68,0)</f>
        <v>0</v>
      </c>
    </row>
    <row r="69" spans="1:70">
      <c r="A69">
        <f>A68+1</f>
        <v>2090</v>
      </c>
      <c r="B69">
        <f>B11+(59-1)</f>
        <v>94</v>
      </c>
      <c r="C69" s="10">
        <f aca="1">IF(A69&lt;Param.FireStartjahr,0,Param.EntnahmeBetragStart*(1+Param.Inflationsrate)^(A69-Param.Startjahr))</f>
        <v>145696.339223452494</v>
      </c>
      <c r="D69" s="40">
        <f aca="1">IF(OR($A69&lt;Param.SonstigRegelmJahrBeginn1,$A69&gt;Param.SonstigRegelmJahrEnd1),0,Param.SonstigRegelmBetragJaehrl1*(1+Param.SonstigRegelmSteig1)^(A69-Param.SonstigRegelmJahrBeginn1))</f>
        <v>23547.7598061074386</v>
      </c>
      <c r="E69" s="40">
        <f aca="1">IF(OR($A69&lt;Param.SonstigRegelmJahrBeginn2,$A69&gt;Param.SonstigRegelmJahrEnd2),0,Param.SonstigRegelmBetragJaehrl2*(1+Param.SonstigRegelmSteig2)^($A69-Param.SonstigRegelmJahrBeginn2))</f>
        <v>0</v>
      </c>
      <c r="F69" s="40">
        <f aca="1">IF(OR($A69&lt;Param.SonstigRegelmJahrBeginn3,$A69&gt;Param.SonstigRegelmJahrEnd3),0,Param.SonstigRegelmBetragJaehrl3*(1+Param.SonstigRegelmSteig3)^($A69-Param.SonstigRegelmJahrBeginn3))</f>
        <v>0</v>
      </c>
      <c r="G69" s="40">
        <f aca="1">IF(OR($A69&lt;Param.SonstigRegelmJahrBeginn4,$A69&gt;Param.SonstigRegelmJahrEnd4),0,Param.SonstigRegelmBetragJaehrl4*(1+Param.SonstigRegelmSteig4)^($A69-Param.SonstigRegelmJahrBeginn4))</f>
        <v>0</v>
      </c>
      <c r="H69" s="40">
        <f aca="1">IF(OR($A69&lt;Param.SonstigRegelmJahrBeginn5,$A69&gt;Param.SonstigRegelmJahrEnd5),0,Param.SonstigRegelmBetragJaehrl5*(1+Param.SonstigRegelmSteig5)^($A69-Param.SonstigRegelmJahrBeginn5))</f>
        <v>0</v>
      </c>
      <c r="I69" s="40">
        <f aca="1">IF(OR($A69&lt;Param.SonstigRegelmJahrBeginn6,$A69&gt;Param.SonstigRegelmJahrEnd6),0,Param.SonstigRegelmBetragJaehrl6*(1+Param.SonstigRegelmSteig6)^($A69-Param.SonstigRegelmJahrBeginn6))</f>
        <v>0</v>
      </c>
      <c r="J69" s="40">
        <f aca="1">IF(OR($A69&lt;Param.SonstigRegelmJahrBeginn7,$A69&gt;Param.SonstigRegelmJahrEnd7),0,Param.SonstigRegelmBetragJaehrl7*(1+Param.SonstigRegelmSteig7)^($A69-Param.SonstigRegelmJahrBeginn7))</f>
        <v>0</v>
      </c>
      <c r="K69" s="40">
        <f aca="1">IF(OR($A69&lt;Param.SonstigRegelmJahrBeginn8,$A69&gt;Param.SonstigRegelmJahrEnd8),0,Param.SonstigRegelmBetragJaehrl8*(1+Param.SonstigRegelmSteig8)^($A69-Param.SonstigRegelmJahrBeginn8))</f>
        <v>0</v>
      </c>
      <c r="L69" s="40">
        <f aca="1">IF(OR($A69&lt;Param.SonstigRegelmJahrBeginn9,$A69&gt;Param.SonstigRegelmJahrEnd9),0,Param.SonstigRegelmBetragJaehrl9*(1+Param.SonstigRegelmSteig9)^($A69-Param.SonstigRegelmJahrBeginn9))</f>
        <v>0</v>
      </c>
      <c r="M69" s="40">
        <f aca="1">IF(OR($A69&lt;Param.SonstigRegelmJahrBeginn10,$A69&gt;Param.SonstigRegelmJahrEnd10),0,Param.SonstigRegelmBetragJaehrl10*(1+Param.SonstigRegelmSteig10)^($A69-Param.SonstigRegelmJahrBeginn10))</f>
        <v>0</v>
      </c>
      <c r="N69" s="10">
        <f>MAX(0,C69-SUM(D69:M69))</f>
        <v>122148.579417345594</v>
      </c>
      <c r="O69" s="10">
        <f>IF(N69&lt;=0,SUM(D69:M69)-C69,0)</f>
        <v>0</v>
      </c>
      <c r="P69" s="10">
        <f>S69+AP69</f>
        <v>-25757.0857139311993</v>
      </c>
      <c r="Q69" s="11">
        <f>IF(P69&gt;0,S69/P69,0)</f>
        <v>0</v>
      </c>
      <c r="R69" s="11">
        <f>IF(P69&gt;0,AP69/P69,0)</f>
        <v>0</v>
      </c>
      <c r="S69" s="10">
        <f>AL68</f>
        <v>-25757.0857139311702</v>
      </c>
      <c r="T69" s="40">
        <f>AM68</f>
        <v>-25201.9577663978016</v>
      </c>
      <c r="U69" s="40">
        <f aca="1">IF(A69&lt;Param.FireStartjahr,Param.SparrateDepotMonatl*12*(1+Param.SparrateDynamikJaehrl)^($A69-Param.Startjahr),0)</f>
        <v>0</v>
      </c>
      <c r="V69" s="40">
        <f aca="1">IF(AND(Param.SonstigEinmaligKonto1="Depot",$A69=Param.SonstigEinmaligJahr1),Param.SonstigEinmaligBetrag1,0)</f>
        <v>0</v>
      </c>
      <c r="W69" s="40">
        <f aca="1">IF(AND(Param.SonstigEinmaligKonto2="Depot",$A69=Param.SonstigEinmaligJahr2),Param.SonstigEinmaligBetrag2,0)</f>
        <v>0</v>
      </c>
      <c r="X69" s="40">
        <f aca="1">IF(AND(Param.SonstigEinmaligKonto3="Depot",$A69=Param.SonstigEinmaligJahr3),Param.SonstigEinmaligBetrag3,0)</f>
        <v>0</v>
      </c>
      <c r="Y69" s="40">
        <f aca="1">IF(AND(Param.SonstigEinmaligKonto4="Depot",$A69=Param.SonstigEinmaligJahr4),Param.SonstigEinmaligBetrag4,0)</f>
        <v>0</v>
      </c>
      <c r="Z69" s="40">
        <f aca="1">IF(AND(Param.SonstigEinmaligKonto5="Depot",$A69=Param.SonstigEinmaligJahr5),Param.SonstigEinmaligBetrag5,0)</f>
        <v>0</v>
      </c>
      <c r="AA69" s="40">
        <f aca="1">IF(AND(Param.SonstigEinmaligKonto6="Depot",$A69=Param.SonstigEinmaligJahr6),Param.SonstigEinmaligBetrag6,0)</f>
        <v>0</v>
      </c>
      <c r="AB69" s="40">
        <f aca="1">IF(AND(Param.SonstigEinmaligKonto7="Depot",$A69=Param.SonstigEinmaligJahr7),Param.SonstigEinmaligBetrag7,0)</f>
        <v>0</v>
      </c>
      <c r="AC69" s="40">
        <f aca="1">IF(AND(Param.SonstigEinmaligKonto8="Depot",$A69=Param.SonstigEinmaligJahr8),Param.SonstigEinmaligBetrag8,0)</f>
        <v>0</v>
      </c>
      <c r="AD69" s="40">
        <f aca="1">IF(AND(Param.SonstigEinmaligKonto9="Depot",$A69=Param.SonstigEinmaligJahr9),Param.SonstigEinmaligBetrag9,0)</f>
        <v>0</v>
      </c>
      <c r="AE69" s="40">
        <f aca="1">IF(AND(Param.SonstigEinmaligKonto10="Depot",$A69=Param.SonstigEinmaligJahr10),Param.SonstigEinmaligBetrag10,0)</f>
        <v>0</v>
      </c>
      <c r="AF69" s="40">
        <f aca="1">Param.SparerPauschbetrag-BF69</f>
        <v>1000</v>
      </c>
      <c r="AG69" s="40">
        <f aca="1">IF(AND(A69&gt;=Param.FireStartjahr,S69&gt;0),MIN(N69*Q69,S69),0)</f>
        <v>0</v>
      </c>
      <c r="AH69" s="40">
        <f aca="1">IF(AG69&lt;=0,0,IF(S69&lt;=0,0,AG69/(1-MAX(0,((T69/S69)*(1-Param.Teilfreistellung)-MIN(AF69,AG69)/AG69)*Param.KapSt))))</f>
        <v>0</v>
      </c>
      <c r="AI69" s="40">
        <f>AH69-AG69</f>
        <v>0</v>
      </c>
      <c r="AJ69" s="40">
        <f>T69-AH69*(T69/S69)</f>
        <v>-25201.9577663978016</v>
      </c>
      <c r="AK69" s="40">
        <f>S69-AH69</f>
        <v>-25757.0857139311993</v>
      </c>
      <c r="AL69" s="40">
        <f>FV(AO69,12,-(U69/12),-AK69,0)</f>
        <v>-27302.5108567660609</v>
      </c>
      <c r="AM69" s="40">
        <f>AJ69+AL69-AK69-U69</f>
        <v>-26747.3829092326996</v>
      </c>
      <c r="AN69" s="5">
        <f>AM69/AL69</f>
        <v>0.979667512982754474</v>
      </c>
      <c r="AO69" s="5">
        <f aca="1">(1+IF(AND(A69&gt;=Param.DepotRenditeSpezBeginn1,A69&lt;=Param.DepotRenditeSpezEnde1),Param.DepotRenditeSpezProz1,IF(AND(A69&gt;=Param.DepotRenditeSpezBeginn2,A69&lt;=Param.DepotRenditeSpezEnde2),Param.DepotRenditeSpezProz2,IF(AND(A69&gt;=Param.DepotRenditeSpezBeginn3,A69&lt;=Param.DepotRenditeSpezEnde3),Param.DepotRenditeSpezProz3,IF(AND(A69&gt;=Param.DepotRenditeSpezBeginn4,A69&lt;=Param.DepotRenditeSpezEnde4),Param.DepotRenditeSpezProz4,IF(AND(A69&gt;=Param.DepotRenditeSpezBeginn5,A69&lt;=Param.DepotRenditeSpezEnde5),Param.DepotRenditeSpezProz5,Param.DepotRenditeDefault))))))^(1/12)-1</f>
        <v>0.00486755056533993979</v>
      </c>
      <c r="AP69" s="40">
        <f>BJ68</f>
        <v>0</v>
      </c>
      <c r="AQ69" s="40">
        <f aca="1">IF(A69&lt;Param.FireStartjahr,Param.SparrateFestgeldMonatl*12*(1+Param.SparrateDynamikJaehrl)^($A69-Param.Startjahr),0)</f>
        <v>0</v>
      </c>
      <c r="AR69" s="40">
        <f>O69</f>
        <v>0</v>
      </c>
      <c r="AS69" s="40">
        <f aca="1">IF(AND(Param.SonstigEinmaligKonto1="Festgeld",$A69=Param.SonstigEinmaligJahr1),Param.SonstigEinmaligBetrag1,0)</f>
        <v>0</v>
      </c>
      <c r="AT69" s="40">
        <f aca="1">IF(AND(Param.SonstigEinmaligKonto2="Festgeld",$A69=Param.SonstigEinmaligJahr2),Param.SonstigEinmaligBetrag2,0)</f>
        <v>0</v>
      </c>
      <c r="AU69" s="40">
        <f aca="1">IF(AND(Param.SonstigEinmaligKonto3="Festgeld",$A69=Param.SonstigEinmaligJahr3),Param.SonstigEinmaligBetrag3,0)</f>
        <v>0</v>
      </c>
      <c r="AV69" s="40">
        <f aca="1">IF(AND(Param.SonstigEinmaligKonto4="Festgeld",$A69=Param.SonstigEinmaligJahr4),Param.SonstigEinmaligBetrag4,0)</f>
        <v>0</v>
      </c>
      <c r="AW69" s="40">
        <f aca="1">IF(AND(Param.SonstigEinmaligKonto5="Festgeld",$A69=Param.SonstigEinmaligJahr5),Param.SonstigEinmaligBetrag5,0)</f>
        <v>0</v>
      </c>
      <c r="AX69" s="40">
        <f aca="1">IF(AND(Param.SonstigEinmaligKonto6="Festgeld",$A69=Param.SonstigEinmaligJahr6),Param.SonstigEinmaligBetrag6,0)</f>
        <v>0</v>
      </c>
      <c r="AY69" s="40">
        <f aca="1">IF(AND(Param.SonstigEinmaligKonto7="Festgeld",$A69=Param.SonstigEinmaligJahr7),Param.SonstigEinmaligBetrag7,0)</f>
        <v>0</v>
      </c>
      <c r="AZ69" s="40">
        <f aca="1">IF(AND(Param.SonstigEinmaligKonto8="Festgeld",$A69=Param.SonstigEinmaligJahr8),Param.SonstigEinmaligBetrag8,0)</f>
        <v>0</v>
      </c>
      <c r="BA69" s="40">
        <f aca="1">IF(AND(Param.SonstigEinmaligKonto9="Festgeld",$A69=Param.SonstigEinmaligJahr9),Param.SonstigEinmaligBetrag9,0)</f>
        <v>0</v>
      </c>
      <c r="BB69" s="40">
        <f aca="1">IF(AND(Param.SonstigEinmaligKonto10="Festgeld",$A69=Param.SonstigEinmaligJahr10),Param.SonstigEinmaligBetrag10,0)</f>
        <v>0</v>
      </c>
      <c r="BC69" s="40">
        <f aca="1">IF(AND(A69&gt;=Param.FireStartjahr,AP69&gt;0),MIN(N69*R69,AP69),0)</f>
        <v>0</v>
      </c>
      <c r="BD69" s="5">
        <f aca="1">Param.FestgeldZinssatz</f>
        <v>0.02</v>
      </c>
      <c r="BE69" s="40">
        <f>(AP69+AQ69-BC69)*BD69</f>
        <v>0</v>
      </c>
      <c r="BF69" s="40">
        <f aca="1">IF(BE69&gt;Param.SparerPauschbetrag,Param.SparerPauschbetrag,BE69)</f>
        <v>0</v>
      </c>
      <c r="BG69" s="40">
        <f>BE69-BF69</f>
        <v>0</v>
      </c>
      <c r="BH69" s="40">
        <f aca="1">BG69*Param.KapSt</f>
        <v>0</v>
      </c>
      <c r="BI69" s="40">
        <f>BE69-BH69</f>
        <v>0</v>
      </c>
      <c r="BJ69" s="63">
        <f>AP69+SUM(AQ69:BB69)-BC69+BI69</f>
        <v>0</v>
      </c>
      <c r="BK69" s="40">
        <f>AL69+BJ69</f>
        <v>-27302.5108567661009</v>
      </c>
      <c r="BL69" s="40">
        <f aca="1">BK69/(1+Param.Inflationsrate)^(A69-Param.Startjahr)</f>
        <v>-5621.79756930459553</v>
      </c>
      <c r="BM69" s="52">
        <f>IF(BK69&lt;N69,A69,"")</f>
        <v>2090</v>
      </c>
      <c r="BN69" s="40">
        <f>AH69+BC69</f>
        <v>0</v>
      </c>
      <c r="BO69" s="40">
        <f>SUM(AR69:BB69)</f>
        <v>0</v>
      </c>
      <c r="BP69" s="40">
        <f>BN69+(-1*BO69)</f>
        <v>0</v>
      </c>
      <c r="BQ69" s="40">
        <f>AI69+BH69</f>
        <v>0</v>
      </c>
      <c r="BR69" s="5">
        <f>IF(BK69&gt;0,BP69/BK69,0)</f>
        <v>0</v>
      </c>
    </row>
    <row r="70" spans="1:70">
      <c r="A70">
        <f>A69+1</f>
        <v>2091</v>
      </c>
      <c r="B70">
        <f>B12+(59-1)</f>
        <v>95</v>
      </c>
      <c r="C70" s="10">
        <f aca="1">IF(A70&lt;Param.FireStartjahr,0,Param.EntnahmeBetragStart*(1+Param.Inflationsrate)^(A70-Param.Startjahr))</f>
        <v>149338.747704039008</v>
      </c>
      <c r="D70" s="40">
        <f aca="1">IF(OR($A70&lt;Param.SonstigRegelmJahrBeginn1,$A70&gt;Param.SonstigRegelmJahrEnd1),0,Param.SonstigRegelmBetragJaehrl1*(1+Param.SonstigRegelmSteig1)^(A70-Param.SonstigRegelmJahrBeginn1))</f>
        <v>23783.2374041684998</v>
      </c>
      <c r="E70" s="40">
        <f aca="1">IF(OR($A70&lt;Param.SonstigRegelmJahrBeginn2,$A70&gt;Param.SonstigRegelmJahrEnd2),0,Param.SonstigRegelmBetragJaehrl2*(1+Param.SonstigRegelmSteig2)^($A70-Param.SonstigRegelmJahrBeginn2))</f>
        <v>0</v>
      </c>
      <c r="F70" s="40">
        <f aca="1">IF(OR($A70&lt;Param.SonstigRegelmJahrBeginn3,$A70&gt;Param.SonstigRegelmJahrEnd3),0,Param.SonstigRegelmBetragJaehrl3*(1+Param.SonstigRegelmSteig3)^($A70-Param.SonstigRegelmJahrBeginn3))</f>
        <v>0</v>
      </c>
      <c r="G70" s="40">
        <f aca="1">IF(OR($A70&lt;Param.SonstigRegelmJahrBeginn4,$A70&gt;Param.SonstigRegelmJahrEnd4),0,Param.SonstigRegelmBetragJaehrl4*(1+Param.SonstigRegelmSteig4)^($A70-Param.SonstigRegelmJahrBeginn4))</f>
        <v>0</v>
      </c>
      <c r="H70" s="40">
        <f aca="1">IF(OR($A70&lt;Param.SonstigRegelmJahrBeginn5,$A70&gt;Param.SonstigRegelmJahrEnd5),0,Param.SonstigRegelmBetragJaehrl5*(1+Param.SonstigRegelmSteig5)^($A70-Param.SonstigRegelmJahrBeginn5))</f>
        <v>0</v>
      </c>
      <c r="I70" s="40">
        <f aca="1">IF(OR($A70&lt;Param.SonstigRegelmJahrBeginn6,$A70&gt;Param.SonstigRegelmJahrEnd6),0,Param.SonstigRegelmBetragJaehrl6*(1+Param.SonstigRegelmSteig6)^($A70-Param.SonstigRegelmJahrBeginn6))</f>
        <v>0</v>
      </c>
      <c r="J70" s="40">
        <f aca="1">IF(OR($A70&lt;Param.SonstigRegelmJahrBeginn7,$A70&gt;Param.SonstigRegelmJahrEnd7),0,Param.SonstigRegelmBetragJaehrl7*(1+Param.SonstigRegelmSteig7)^($A70-Param.SonstigRegelmJahrBeginn7))</f>
        <v>0</v>
      </c>
      <c r="K70" s="40">
        <f aca="1">IF(OR($A70&lt;Param.SonstigRegelmJahrBeginn8,$A70&gt;Param.SonstigRegelmJahrEnd8),0,Param.SonstigRegelmBetragJaehrl8*(1+Param.SonstigRegelmSteig8)^($A70-Param.SonstigRegelmJahrBeginn8))</f>
        <v>0</v>
      </c>
      <c r="L70" s="40">
        <f aca="1">IF(OR($A70&lt;Param.SonstigRegelmJahrBeginn9,$A70&gt;Param.SonstigRegelmJahrEnd9),0,Param.SonstigRegelmBetragJaehrl9*(1+Param.SonstigRegelmSteig9)^($A70-Param.SonstigRegelmJahrBeginn9))</f>
        <v>0</v>
      </c>
      <c r="M70" s="40">
        <f aca="1">IF(OR($A70&lt;Param.SonstigRegelmJahrBeginn10,$A70&gt;Param.SonstigRegelmJahrEnd10),0,Param.SonstigRegelmBetragJaehrl10*(1+Param.SonstigRegelmSteig10)^($A70-Param.SonstigRegelmJahrBeginn10))</f>
        <v>0</v>
      </c>
      <c r="N70" s="10">
        <f>MAX(0,C70-SUM(D70:M70))</f>
        <v>125555.510299870512</v>
      </c>
      <c r="O70" s="10">
        <f>IF(N70&lt;=0,SUM(D70:M70)-C70,0)</f>
        <v>0</v>
      </c>
      <c r="P70" s="10">
        <f>S70+AP70</f>
        <v>-27302.5108567661009</v>
      </c>
      <c r="Q70" s="11">
        <f>IF(P70&gt;0,S70/P70,0)</f>
        <v>0</v>
      </c>
      <c r="R70" s="11">
        <f>IF(P70&gt;0,AP70/P70,0)</f>
        <v>0</v>
      </c>
      <c r="S70" s="10">
        <f>AL69</f>
        <v>-27302.5108567660609</v>
      </c>
      <c r="T70" s="40">
        <f>AM69</f>
        <v>-26747.3829092326996</v>
      </c>
      <c r="U70" s="40">
        <f aca="1">IF(A70&lt;Param.FireStartjahr,Param.SparrateDepotMonatl*12*(1+Param.SparrateDynamikJaehrl)^($A70-Param.Startjahr),0)</f>
        <v>0</v>
      </c>
      <c r="V70" s="40">
        <f aca="1">IF(AND(Param.SonstigEinmaligKonto1="Depot",$A70=Param.SonstigEinmaligJahr1),Param.SonstigEinmaligBetrag1,0)</f>
        <v>0</v>
      </c>
      <c r="W70" s="40">
        <f aca="1">IF(AND(Param.SonstigEinmaligKonto2="Depot",$A70=Param.SonstigEinmaligJahr2),Param.SonstigEinmaligBetrag2,0)</f>
        <v>0</v>
      </c>
      <c r="X70" s="40">
        <f aca="1">IF(AND(Param.SonstigEinmaligKonto3="Depot",$A70=Param.SonstigEinmaligJahr3),Param.SonstigEinmaligBetrag3,0)</f>
        <v>0</v>
      </c>
      <c r="Y70" s="40">
        <f aca="1">IF(AND(Param.SonstigEinmaligKonto4="Depot",$A70=Param.SonstigEinmaligJahr4),Param.SonstigEinmaligBetrag4,0)</f>
        <v>0</v>
      </c>
      <c r="Z70" s="40">
        <f aca="1">IF(AND(Param.SonstigEinmaligKonto5="Depot",$A70=Param.SonstigEinmaligJahr5),Param.SonstigEinmaligBetrag5,0)</f>
        <v>0</v>
      </c>
      <c r="AA70" s="40">
        <f aca="1">IF(AND(Param.SonstigEinmaligKonto6="Depot",$A70=Param.SonstigEinmaligJahr6),Param.SonstigEinmaligBetrag6,0)</f>
        <v>0</v>
      </c>
      <c r="AB70" s="40">
        <f aca="1">IF(AND(Param.SonstigEinmaligKonto7="Depot",$A70=Param.SonstigEinmaligJahr7),Param.SonstigEinmaligBetrag7,0)</f>
        <v>0</v>
      </c>
      <c r="AC70" s="40">
        <f aca="1">IF(AND(Param.SonstigEinmaligKonto8="Depot",$A70=Param.SonstigEinmaligJahr8),Param.SonstigEinmaligBetrag8,0)</f>
        <v>0</v>
      </c>
      <c r="AD70" s="40">
        <f aca="1">IF(AND(Param.SonstigEinmaligKonto9="Depot",$A70=Param.SonstigEinmaligJahr9),Param.SonstigEinmaligBetrag9,0)</f>
        <v>0</v>
      </c>
      <c r="AE70" s="40">
        <f aca="1">IF(AND(Param.SonstigEinmaligKonto10="Depot",$A70=Param.SonstigEinmaligJahr10),Param.SonstigEinmaligBetrag10,0)</f>
        <v>0</v>
      </c>
      <c r="AF70" s="40">
        <f aca="1">Param.SparerPauschbetrag-BF70</f>
        <v>1000</v>
      </c>
      <c r="AG70" s="40">
        <f aca="1">IF(AND(A70&gt;=Param.FireStartjahr,S70&gt;0),MIN(N70*Q70,S70),0)</f>
        <v>0</v>
      </c>
      <c r="AH70" s="40">
        <f aca="1">IF(AG70&lt;=0,0,IF(S70&lt;=0,0,AG70/(1-MAX(0,((T70/S70)*(1-Param.Teilfreistellung)-MIN(AF70,AG70)/AG70)*Param.KapSt))))</f>
        <v>0</v>
      </c>
      <c r="AI70" s="40">
        <f>AH70-AG70</f>
        <v>0</v>
      </c>
      <c r="AJ70" s="40">
        <f>T70-AH70*(T70/S70)</f>
        <v>-26747.3829092326996</v>
      </c>
      <c r="AK70" s="40">
        <f>S70-AH70</f>
        <v>-27302.5108567661009</v>
      </c>
      <c r="AL70" s="40">
        <f>FV(AO70,12,-(U70/12),-AK70,0)</f>
        <v>-28940.661508170997</v>
      </c>
      <c r="AM70" s="40">
        <f>AJ70+AL70-AK70-U70</f>
        <v>-28385.5335606375993</v>
      </c>
      <c r="AN70" s="5">
        <f>AM70/AL70</f>
        <v>0.980818408474296</v>
      </c>
      <c r="AO70" s="5">
        <f aca="1">(1+IF(AND(A70&gt;=Param.DepotRenditeSpezBeginn1,A70&lt;=Param.DepotRenditeSpezEnde1),Param.DepotRenditeSpezProz1,IF(AND(A70&gt;=Param.DepotRenditeSpezBeginn2,A70&lt;=Param.DepotRenditeSpezEnde2),Param.DepotRenditeSpezProz2,IF(AND(A70&gt;=Param.DepotRenditeSpezBeginn3,A70&lt;=Param.DepotRenditeSpezEnde3),Param.DepotRenditeSpezProz3,IF(AND(A70&gt;=Param.DepotRenditeSpezBeginn4,A70&lt;=Param.DepotRenditeSpezEnde4),Param.DepotRenditeSpezProz4,IF(AND(A70&gt;=Param.DepotRenditeSpezBeginn5,A70&lt;=Param.DepotRenditeSpezEnde5),Param.DepotRenditeSpezProz5,Param.DepotRenditeDefault))))))^(1/12)-1</f>
        <v>0.00486755056533993979</v>
      </c>
      <c r="AP70" s="40">
        <f>BJ69</f>
        <v>0</v>
      </c>
      <c r="AQ70" s="40">
        <f aca="1">IF(A70&lt;Param.FireStartjahr,Param.SparrateFestgeldMonatl*12*(1+Param.SparrateDynamikJaehrl)^($A70-Param.Startjahr),0)</f>
        <v>0</v>
      </c>
      <c r="AR70" s="40">
        <f>O70</f>
        <v>0</v>
      </c>
      <c r="AS70" s="40">
        <f aca="1">IF(AND(Param.SonstigEinmaligKonto1="Festgeld",$A70=Param.SonstigEinmaligJahr1),Param.SonstigEinmaligBetrag1,0)</f>
        <v>0</v>
      </c>
      <c r="AT70" s="40">
        <f aca="1">IF(AND(Param.SonstigEinmaligKonto2="Festgeld",$A70=Param.SonstigEinmaligJahr2),Param.SonstigEinmaligBetrag2,0)</f>
        <v>0</v>
      </c>
      <c r="AU70" s="40">
        <f aca="1">IF(AND(Param.SonstigEinmaligKonto3="Festgeld",$A70=Param.SonstigEinmaligJahr3),Param.SonstigEinmaligBetrag3,0)</f>
        <v>0</v>
      </c>
      <c r="AV70" s="40">
        <f aca="1">IF(AND(Param.SonstigEinmaligKonto4="Festgeld",$A70=Param.SonstigEinmaligJahr4),Param.SonstigEinmaligBetrag4,0)</f>
        <v>0</v>
      </c>
      <c r="AW70" s="40">
        <f aca="1">IF(AND(Param.SonstigEinmaligKonto5="Festgeld",$A70=Param.SonstigEinmaligJahr5),Param.SonstigEinmaligBetrag5,0)</f>
        <v>0</v>
      </c>
      <c r="AX70" s="40">
        <f aca="1">IF(AND(Param.SonstigEinmaligKonto6="Festgeld",$A70=Param.SonstigEinmaligJahr6),Param.SonstigEinmaligBetrag6,0)</f>
        <v>0</v>
      </c>
      <c r="AY70" s="40">
        <f aca="1">IF(AND(Param.SonstigEinmaligKonto7="Festgeld",$A70=Param.SonstigEinmaligJahr7),Param.SonstigEinmaligBetrag7,0)</f>
        <v>0</v>
      </c>
      <c r="AZ70" s="40">
        <f aca="1">IF(AND(Param.SonstigEinmaligKonto8="Festgeld",$A70=Param.SonstigEinmaligJahr8),Param.SonstigEinmaligBetrag8,0)</f>
        <v>0</v>
      </c>
      <c r="BA70" s="40">
        <f aca="1">IF(AND(Param.SonstigEinmaligKonto9="Festgeld",$A70=Param.SonstigEinmaligJahr9),Param.SonstigEinmaligBetrag9,0)</f>
        <v>0</v>
      </c>
      <c r="BB70" s="40">
        <f aca="1">IF(AND(Param.SonstigEinmaligKonto10="Festgeld",$A70=Param.SonstigEinmaligJahr10),Param.SonstigEinmaligBetrag10,0)</f>
        <v>0</v>
      </c>
      <c r="BC70" s="40">
        <f aca="1">IF(AND(A70&gt;=Param.FireStartjahr,AP70&gt;0),MIN(N70*R70,AP70),0)</f>
        <v>0</v>
      </c>
      <c r="BD70" s="5">
        <f aca="1">Param.FestgeldZinssatz</f>
        <v>0.02</v>
      </c>
      <c r="BE70" s="40">
        <f>(AP70+AQ70-BC70)*BD70</f>
        <v>0</v>
      </c>
      <c r="BF70" s="40">
        <f aca="1">IF(BE70&gt;Param.SparerPauschbetrag,Param.SparerPauschbetrag,BE70)</f>
        <v>0</v>
      </c>
      <c r="BG70" s="40">
        <f>BE70-BF70</f>
        <v>0</v>
      </c>
      <c r="BH70" s="40">
        <f aca="1">BG70*Param.KapSt</f>
        <v>0</v>
      </c>
      <c r="BI70" s="40">
        <f>BE70-BH70</f>
        <v>0</v>
      </c>
      <c r="BJ70" s="63">
        <f>AP70+SUM(AQ70:BB70)-BC70+BI70</f>
        <v>0</v>
      </c>
      <c r="BK70" s="40">
        <f>AL70+BJ70</f>
        <v>-28940.6615081710006</v>
      </c>
      <c r="BL70" s="40">
        <f aca="1">BK70/(1+Param.Inflationsrate)^(A70-Param.Startjahr)</f>
        <v>-5813.76138874404205</v>
      </c>
      <c r="BM70" s="52">
        <f>IF(BK70&lt;N70,A70,"")</f>
        <v>2091</v>
      </c>
      <c r="BN70" s="40">
        <f>AH70+BC70</f>
        <v>0</v>
      </c>
      <c r="BO70" s="40">
        <f>SUM(AR70:BB70)</f>
        <v>0</v>
      </c>
      <c r="BP70" s="40">
        <f>BN70+(-1*BO70)</f>
        <v>0</v>
      </c>
      <c r="BQ70" s="40">
        <f>AI70+BH70</f>
        <v>0</v>
      </c>
      <c r="BR70" s="5">
        <f>IF(BK70&gt;0,BP70/BK70,0)</f>
        <v>0</v>
      </c>
    </row>
    <row r="71" spans="1:70">
      <c r="A71">
        <f>A70+1</f>
        <v>2092</v>
      </c>
      <c r="B71">
        <f>B13+(59-1)</f>
        <v>96</v>
      </c>
      <c r="C71" s="10">
        <f aca="1">IF(A71&lt;Param.FireStartjahr,0,Param.EntnahmeBetragStart*(1+Param.Inflationsrate)^(A71-Param.Startjahr))</f>
        <v>153072.216396639909</v>
      </c>
      <c r="D71" s="40">
        <f aca="1">IF(OR($A71&lt;Param.SonstigRegelmJahrBeginn1,$A71&gt;Param.SonstigRegelmJahrEnd1),0,Param.SonstigRegelmBetragJaehrl1*(1+Param.SonstigRegelmSteig1)^(A71-Param.SonstigRegelmJahrBeginn1))</f>
        <v>24021.0697782101379</v>
      </c>
      <c r="E71" s="40">
        <f aca="1">IF(OR($A71&lt;Param.SonstigRegelmJahrBeginn2,$A71&gt;Param.SonstigRegelmJahrEnd2),0,Param.SonstigRegelmBetragJaehrl2*(1+Param.SonstigRegelmSteig2)^($A71-Param.SonstigRegelmJahrBeginn2))</f>
        <v>0</v>
      </c>
      <c r="F71" s="40">
        <f aca="1">IF(OR($A71&lt;Param.SonstigRegelmJahrBeginn3,$A71&gt;Param.SonstigRegelmJahrEnd3),0,Param.SonstigRegelmBetragJaehrl3*(1+Param.SonstigRegelmSteig3)^($A71-Param.SonstigRegelmJahrBeginn3))</f>
        <v>0</v>
      </c>
      <c r="G71" s="40">
        <f aca="1">IF(OR($A71&lt;Param.SonstigRegelmJahrBeginn4,$A71&gt;Param.SonstigRegelmJahrEnd4),0,Param.SonstigRegelmBetragJaehrl4*(1+Param.SonstigRegelmSteig4)^($A71-Param.SonstigRegelmJahrBeginn4))</f>
        <v>0</v>
      </c>
      <c r="H71" s="40">
        <f aca="1">IF(OR($A71&lt;Param.SonstigRegelmJahrBeginn5,$A71&gt;Param.SonstigRegelmJahrEnd5),0,Param.SonstigRegelmBetragJaehrl5*(1+Param.SonstigRegelmSteig5)^($A71-Param.SonstigRegelmJahrBeginn5))</f>
        <v>0</v>
      </c>
      <c r="I71" s="40">
        <f aca="1">IF(OR($A71&lt;Param.SonstigRegelmJahrBeginn6,$A71&gt;Param.SonstigRegelmJahrEnd6),0,Param.SonstigRegelmBetragJaehrl6*(1+Param.SonstigRegelmSteig6)^($A71-Param.SonstigRegelmJahrBeginn6))</f>
        <v>0</v>
      </c>
      <c r="J71" s="40">
        <f aca="1">IF(OR($A71&lt;Param.SonstigRegelmJahrBeginn7,$A71&gt;Param.SonstigRegelmJahrEnd7),0,Param.SonstigRegelmBetragJaehrl7*(1+Param.SonstigRegelmSteig7)^($A71-Param.SonstigRegelmJahrBeginn7))</f>
        <v>0</v>
      </c>
      <c r="K71" s="40">
        <f aca="1">IF(OR($A71&lt;Param.SonstigRegelmJahrBeginn8,$A71&gt;Param.SonstigRegelmJahrEnd8),0,Param.SonstigRegelmBetragJaehrl8*(1+Param.SonstigRegelmSteig8)^($A71-Param.SonstigRegelmJahrBeginn8))</f>
        <v>0</v>
      </c>
      <c r="L71" s="40">
        <f aca="1">IF(OR($A71&lt;Param.SonstigRegelmJahrBeginn9,$A71&gt;Param.SonstigRegelmJahrEnd9),0,Param.SonstigRegelmBetragJaehrl9*(1+Param.SonstigRegelmSteig9)^($A71-Param.SonstigRegelmJahrBeginn9))</f>
        <v>0</v>
      </c>
      <c r="M71" s="40">
        <f aca="1">IF(OR($A71&lt;Param.SonstigRegelmJahrBeginn10,$A71&gt;Param.SonstigRegelmJahrEnd10),0,Param.SonstigRegelmBetragJaehrl10*(1+Param.SonstigRegelmSteig10)^($A71-Param.SonstigRegelmJahrBeginn10))</f>
        <v>0</v>
      </c>
      <c r="N71" s="10">
        <f>MAX(0,C71-SUM(D71:M71))</f>
        <v>129051.146618429892</v>
      </c>
      <c r="O71" s="10">
        <f>IF(N71&lt;=0,SUM(D71:M71)-C71,0)</f>
        <v>0</v>
      </c>
      <c r="P71" s="10">
        <f>S71+AP71</f>
        <v>-28940.6615081710006</v>
      </c>
      <c r="Q71" s="11">
        <f>IF(P71&gt;0,S71/P71,0)</f>
        <v>0</v>
      </c>
      <c r="R71" s="11">
        <f>IF(P71&gt;0,AP71/P71,0)</f>
        <v>0</v>
      </c>
      <c r="S71" s="10">
        <f>AL70</f>
        <v>-28940.661508170997</v>
      </c>
      <c r="T71" s="40">
        <f>AM70</f>
        <v>-28385.5335606375993</v>
      </c>
      <c r="U71" s="40">
        <f aca="1">IF(A71&lt;Param.FireStartjahr,Param.SparrateDepotMonatl*12*(1+Param.SparrateDynamikJaehrl)^($A71-Param.Startjahr),0)</f>
        <v>0</v>
      </c>
      <c r="V71" s="40">
        <f aca="1">IF(AND(Param.SonstigEinmaligKonto1="Depot",$A71=Param.SonstigEinmaligJahr1),Param.SonstigEinmaligBetrag1,0)</f>
        <v>0</v>
      </c>
      <c r="W71" s="40">
        <f aca="1">IF(AND(Param.SonstigEinmaligKonto2="Depot",$A71=Param.SonstigEinmaligJahr2),Param.SonstigEinmaligBetrag2,0)</f>
        <v>0</v>
      </c>
      <c r="X71" s="40">
        <f aca="1">IF(AND(Param.SonstigEinmaligKonto3="Depot",$A71=Param.SonstigEinmaligJahr3),Param.SonstigEinmaligBetrag3,0)</f>
        <v>0</v>
      </c>
      <c r="Y71" s="40">
        <f aca="1">IF(AND(Param.SonstigEinmaligKonto4="Depot",$A71=Param.SonstigEinmaligJahr4),Param.SonstigEinmaligBetrag4,0)</f>
        <v>0</v>
      </c>
      <c r="Z71" s="40">
        <f aca="1">IF(AND(Param.SonstigEinmaligKonto5="Depot",$A71=Param.SonstigEinmaligJahr5),Param.SonstigEinmaligBetrag5,0)</f>
        <v>0</v>
      </c>
      <c r="AA71" s="40">
        <f aca="1">IF(AND(Param.SonstigEinmaligKonto6="Depot",$A71=Param.SonstigEinmaligJahr6),Param.SonstigEinmaligBetrag6,0)</f>
        <v>0</v>
      </c>
      <c r="AB71" s="40">
        <f aca="1">IF(AND(Param.SonstigEinmaligKonto7="Depot",$A71=Param.SonstigEinmaligJahr7),Param.SonstigEinmaligBetrag7,0)</f>
        <v>0</v>
      </c>
      <c r="AC71" s="40">
        <f aca="1">IF(AND(Param.SonstigEinmaligKonto8="Depot",$A71=Param.SonstigEinmaligJahr8),Param.SonstigEinmaligBetrag8,0)</f>
        <v>0</v>
      </c>
      <c r="AD71" s="40">
        <f aca="1">IF(AND(Param.SonstigEinmaligKonto9="Depot",$A71=Param.SonstigEinmaligJahr9),Param.SonstigEinmaligBetrag9,0)</f>
        <v>0</v>
      </c>
      <c r="AE71" s="40">
        <f aca="1">IF(AND(Param.SonstigEinmaligKonto10="Depot",$A71=Param.SonstigEinmaligJahr10),Param.SonstigEinmaligBetrag10,0)</f>
        <v>0</v>
      </c>
      <c r="AF71" s="40">
        <f aca="1">Param.SparerPauschbetrag-BF71</f>
        <v>1000</v>
      </c>
      <c r="AG71" s="40">
        <f aca="1">IF(AND(A71&gt;=Param.FireStartjahr,S71&gt;0),MIN(N71*Q71,S71),0)</f>
        <v>0</v>
      </c>
      <c r="AH71" s="40">
        <f aca="1">IF(AG71&lt;=0,0,IF(S71&lt;=0,0,AG71/(1-MAX(0,((T71/S71)*(1-Param.Teilfreistellung)-MIN(AF71,AG71)/AG71)*Param.KapSt))))</f>
        <v>0</v>
      </c>
      <c r="AI71" s="40">
        <f>AH71-AG71</f>
        <v>0</v>
      </c>
      <c r="AJ71" s="40">
        <f>T71-AH71*(T71/S71)</f>
        <v>-28385.5335606375993</v>
      </c>
      <c r="AK71" s="40">
        <f>S71-AH71</f>
        <v>-28940.6615081710006</v>
      </c>
      <c r="AL71" s="40">
        <f>FV(AO71,12,-(U71/12),-AK71,0)</f>
        <v>-30677.1011986601261</v>
      </c>
      <c r="AM71" s="40">
        <f>AJ71+AL71-AK71-U71</f>
        <v>-30121.9732511266993</v>
      </c>
      <c r="AN71" s="5">
        <f>AM71/AL71</f>
        <v>0.981904158938014504</v>
      </c>
      <c r="AO71" s="5">
        <f aca="1">(1+IF(AND(A71&gt;=Param.DepotRenditeSpezBeginn1,A71&lt;=Param.DepotRenditeSpezEnde1),Param.DepotRenditeSpezProz1,IF(AND(A71&gt;=Param.DepotRenditeSpezBeginn2,A71&lt;=Param.DepotRenditeSpezEnde2),Param.DepotRenditeSpezProz2,IF(AND(A71&gt;=Param.DepotRenditeSpezBeginn3,A71&lt;=Param.DepotRenditeSpezEnde3),Param.DepotRenditeSpezProz3,IF(AND(A71&gt;=Param.DepotRenditeSpezBeginn4,A71&lt;=Param.DepotRenditeSpezEnde4),Param.DepotRenditeSpezProz4,IF(AND(A71&gt;=Param.DepotRenditeSpezBeginn5,A71&lt;=Param.DepotRenditeSpezEnde5),Param.DepotRenditeSpezProz5,Param.DepotRenditeDefault))))))^(1/12)-1</f>
        <v>0.00486755056533993979</v>
      </c>
      <c r="AP71" s="40">
        <f>BJ70</f>
        <v>0</v>
      </c>
      <c r="AQ71" s="40">
        <f aca="1">IF(A71&lt;Param.FireStartjahr,Param.SparrateFestgeldMonatl*12*(1+Param.SparrateDynamikJaehrl)^($A71-Param.Startjahr),0)</f>
        <v>0</v>
      </c>
      <c r="AR71" s="40">
        <f>O71</f>
        <v>0</v>
      </c>
      <c r="AS71" s="40">
        <f aca="1">IF(AND(Param.SonstigEinmaligKonto1="Festgeld",$A71=Param.SonstigEinmaligJahr1),Param.SonstigEinmaligBetrag1,0)</f>
        <v>0</v>
      </c>
      <c r="AT71" s="40">
        <f aca="1">IF(AND(Param.SonstigEinmaligKonto2="Festgeld",$A71=Param.SonstigEinmaligJahr2),Param.SonstigEinmaligBetrag2,0)</f>
        <v>0</v>
      </c>
      <c r="AU71" s="40">
        <f aca="1">IF(AND(Param.SonstigEinmaligKonto3="Festgeld",$A71=Param.SonstigEinmaligJahr3),Param.SonstigEinmaligBetrag3,0)</f>
        <v>0</v>
      </c>
      <c r="AV71" s="40">
        <f aca="1">IF(AND(Param.SonstigEinmaligKonto4="Festgeld",$A71=Param.SonstigEinmaligJahr4),Param.SonstigEinmaligBetrag4,0)</f>
        <v>0</v>
      </c>
      <c r="AW71" s="40">
        <f aca="1">IF(AND(Param.SonstigEinmaligKonto5="Festgeld",$A71=Param.SonstigEinmaligJahr5),Param.SonstigEinmaligBetrag5,0)</f>
        <v>0</v>
      </c>
      <c r="AX71" s="40">
        <f aca="1">IF(AND(Param.SonstigEinmaligKonto6="Festgeld",$A71=Param.SonstigEinmaligJahr6),Param.SonstigEinmaligBetrag6,0)</f>
        <v>0</v>
      </c>
      <c r="AY71" s="40">
        <f aca="1">IF(AND(Param.SonstigEinmaligKonto7="Festgeld",$A71=Param.SonstigEinmaligJahr7),Param.SonstigEinmaligBetrag7,0)</f>
        <v>0</v>
      </c>
      <c r="AZ71" s="40">
        <f aca="1">IF(AND(Param.SonstigEinmaligKonto8="Festgeld",$A71=Param.SonstigEinmaligJahr8),Param.SonstigEinmaligBetrag8,0)</f>
        <v>0</v>
      </c>
      <c r="BA71" s="40">
        <f aca="1">IF(AND(Param.SonstigEinmaligKonto9="Festgeld",$A71=Param.SonstigEinmaligJahr9),Param.SonstigEinmaligBetrag9,0)</f>
        <v>0</v>
      </c>
      <c r="BB71" s="40">
        <f aca="1">IF(AND(Param.SonstigEinmaligKonto10="Festgeld",$A71=Param.SonstigEinmaligJahr10),Param.SonstigEinmaligBetrag10,0)</f>
        <v>0</v>
      </c>
      <c r="BC71" s="40">
        <f aca="1">IF(AND(A71&gt;=Param.FireStartjahr,AP71&gt;0),MIN(N71*R71,AP71),0)</f>
        <v>0</v>
      </c>
      <c r="BD71" s="5">
        <f aca="1">Param.FestgeldZinssatz</f>
        <v>0.02</v>
      </c>
      <c r="BE71" s="40">
        <f>(AP71+AQ71-BC71)*BD71</f>
        <v>0</v>
      </c>
      <c r="BF71" s="40">
        <f aca="1">IF(BE71&gt;Param.SparerPauschbetrag,Param.SparerPauschbetrag,BE71)</f>
        <v>0</v>
      </c>
      <c r="BG71" s="40">
        <f>BE71-BF71</f>
        <v>0</v>
      </c>
      <c r="BH71" s="40">
        <f aca="1">BG71*Param.KapSt</f>
        <v>0</v>
      </c>
      <c r="BI71" s="40">
        <f>BE71-BH71</f>
        <v>0</v>
      </c>
      <c r="BJ71" s="63">
        <f>AP71+SUM(AQ71:BB71)-BC71+BI71</f>
        <v>0</v>
      </c>
      <c r="BK71" s="40">
        <f>AL71+BJ71</f>
        <v>-30677.1011986601006</v>
      </c>
      <c r="BL71" s="40">
        <f aca="1">BK71/(1+Param.Inflationsrate)^(A71-Param.Startjahr)</f>
        <v>-6012.28007031068864</v>
      </c>
      <c r="BM71" s="52">
        <f>IF(BK71&lt;N71,A71,"")</f>
        <v>2092</v>
      </c>
      <c r="BN71" s="40">
        <f>AH71+BC71</f>
        <v>0</v>
      </c>
      <c r="BO71" s="40">
        <f>SUM(AR71:BB71)</f>
        <v>0</v>
      </c>
      <c r="BP71" s="40">
        <f>BN71+(-1*BO71)</f>
        <v>0</v>
      </c>
      <c r="BQ71" s="40">
        <f>AI71+BH71</f>
        <v>0</v>
      </c>
      <c r="BR71" s="5">
        <f>IF(BK71&gt;0,BP71/BK71,0)</f>
        <v>0</v>
      </c>
    </row>
    <row r="72" spans="1:70">
      <c r="A72">
        <f>A71+1</f>
        <v>2093</v>
      </c>
      <c r="B72">
        <f>B14+(59-1)</f>
        <v>97</v>
      </c>
      <c r="C72" s="10">
        <f aca="1">IF(A72&lt;Param.FireStartjahr,0,Param.EntnahmeBetragStart*(1+Param.Inflationsrate)^(A72-Param.Startjahr))</f>
        <v>156899.0218065558</v>
      </c>
      <c r="D72" s="40">
        <f aca="1">IF(OR($A72&lt;Param.SonstigRegelmJahrBeginn1,$A72&gt;Param.SonstigRegelmJahrEnd1),0,Param.SonstigRegelmBetragJaehrl1*(1+Param.SonstigRegelmSteig1)^(A72-Param.SonstigRegelmJahrBeginn1))</f>
        <v>24261.280475992382</v>
      </c>
      <c r="E72" s="40">
        <f aca="1">IF(OR($A72&lt;Param.SonstigRegelmJahrBeginn2,$A72&gt;Param.SonstigRegelmJahrEnd2),0,Param.SonstigRegelmBetragJaehrl2*(1+Param.SonstigRegelmSteig2)^($A72-Param.SonstigRegelmJahrBeginn2))</f>
        <v>0</v>
      </c>
      <c r="F72" s="40">
        <f aca="1">IF(OR($A72&lt;Param.SonstigRegelmJahrBeginn3,$A72&gt;Param.SonstigRegelmJahrEnd3),0,Param.SonstigRegelmBetragJaehrl3*(1+Param.SonstigRegelmSteig3)^($A72-Param.SonstigRegelmJahrBeginn3))</f>
        <v>0</v>
      </c>
      <c r="G72" s="40">
        <f aca="1">IF(OR($A72&lt;Param.SonstigRegelmJahrBeginn4,$A72&gt;Param.SonstigRegelmJahrEnd4),0,Param.SonstigRegelmBetragJaehrl4*(1+Param.SonstigRegelmSteig4)^($A72-Param.SonstigRegelmJahrBeginn4))</f>
        <v>0</v>
      </c>
      <c r="H72" s="40">
        <f aca="1">IF(OR($A72&lt;Param.SonstigRegelmJahrBeginn5,$A72&gt;Param.SonstigRegelmJahrEnd5),0,Param.SonstigRegelmBetragJaehrl5*(1+Param.SonstigRegelmSteig5)^($A72-Param.SonstigRegelmJahrBeginn5))</f>
        <v>0</v>
      </c>
      <c r="I72" s="40">
        <f aca="1">IF(OR($A72&lt;Param.SonstigRegelmJahrBeginn6,$A72&gt;Param.SonstigRegelmJahrEnd6),0,Param.SonstigRegelmBetragJaehrl6*(1+Param.SonstigRegelmSteig6)^($A72-Param.SonstigRegelmJahrBeginn6))</f>
        <v>0</v>
      </c>
      <c r="J72" s="40">
        <f aca="1">IF(OR($A72&lt;Param.SonstigRegelmJahrBeginn7,$A72&gt;Param.SonstigRegelmJahrEnd7),0,Param.SonstigRegelmBetragJaehrl7*(1+Param.SonstigRegelmSteig7)^($A72-Param.SonstigRegelmJahrBeginn7))</f>
        <v>0</v>
      </c>
      <c r="K72" s="40">
        <f aca="1">IF(OR($A72&lt;Param.SonstigRegelmJahrBeginn8,$A72&gt;Param.SonstigRegelmJahrEnd8),0,Param.SonstigRegelmBetragJaehrl8*(1+Param.SonstigRegelmSteig8)^($A72-Param.SonstigRegelmJahrBeginn8))</f>
        <v>0</v>
      </c>
      <c r="L72" s="40">
        <f aca="1">IF(OR($A72&lt;Param.SonstigRegelmJahrBeginn9,$A72&gt;Param.SonstigRegelmJahrEnd9),0,Param.SonstigRegelmBetragJaehrl9*(1+Param.SonstigRegelmSteig9)^($A72-Param.SonstigRegelmJahrBeginn9))</f>
        <v>0</v>
      </c>
      <c r="M72" s="40">
        <f aca="1">IF(OR($A72&lt;Param.SonstigRegelmJahrBeginn10,$A72&gt;Param.SonstigRegelmJahrEnd10),0,Param.SonstigRegelmBetragJaehrl10*(1+Param.SonstigRegelmSteig10)^($A72-Param.SonstigRegelmJahrBeginn10))</f>
        <v>0</v>
      </c>
      <c r="N72" s="10">
        <f>MAX(0,C72-SUM(D72:M72))</f>
        <v>132637.741330563615</v>
      </c>
      <c r="O72" s="10">
        <f>IF(N72&lt;=0,SUM(D72:M72)-C72,0)</f>
        <v>0</v>
      </c>
      <c r="P72" s="10">
        <f>S72+AP72</f>
        <v>-30677.1011986601006</v>
      </c>
      <c r="Q72" s="11">
        <f>IF(P72&gt;0,S72/P72,0)</f>
        <v>0</v>
      </c>
      <c r="R72" s="11">
        <f>IF(P72&gt;0,AP72/P72,0)</f>
        <v>0</v>
      </c>
      <c r="S72" s="10">
        <f>AL71</f>
        <v>-30677.1011986601261</v>
      </c>
      <c r="T72" s="40">
        <f>AM71</f>
        <v>-30121.9732511266993</v>
      </c>
      <c r="U72" s="40">
        <f aca="1">IF(A72&lt;Param.FireStartjahr,Param.SparrateDepotMonatl*12*(1+Param.SparrateDynamikJaehrl)^($A72-Param.Startjahr),0)</f>
        <v>0</v>
      </c>
      <c r="V72" s="40">
        <f aca="1">IF(AND(Param.SonstigEinmaligKonto1="Depot",$A72=Param.SonstigEinmaligJahr1),Param.SonstigEinmaligBetrag1,0)</f>
        <v>0</v>
      </c>
      <c r="W72" s="40">
        <f aca="1">IF(AND(Param.SonstigEinmaligKonto2="Depot",$A72=Param.SonstigEinmaligJahr2),Param.SonstigEinmaligBetrag2,0)</f>
        <v>0</v>
      </c>
      <c r="X72" s="40">
        <f aca="1">IF(AND(Param.SonstigEinmaligKonto3="Depot",$A72=Param.SonstigEinmaligJahr3),Param.SonstigEinmaligBetrag3,0)</f>
        <v>0</v>
      </c>
      <c r="Y72" s="40">
        <f aca="1">IF(AND(Param.SonstigEinmaligKonto4="Depot",$A72=Param.SonstigEinmaligJahr4),Param.SonstigEinmaligBetrag4,0)</f>
        <v>0</v>
      </c>
      <c r="Z72" s="40">
        <f aca="1">IF(AND(Param.SonstigEinmaligKonto5="Depot",$A72=Param.SonstigEinmaligJahr5),Param.SonstigEinmaligBetrag5,0)</f>
        <v>0</v>
      </c>
      <c r="AA72" s="40">
        <f aca="1">IF(AND(Param.SonstigEinmaligKonto6="Depot",$A72=Param.SonstigEinmaligJahr6),Param.SonstigEinmaligBetrag6,0)</f>
        <v>0</v>
      </c>
      <c r="AB72" s="40">
        <f aca="1">IF(AND(Param.SonstigEinmaligKonto7="Depot",$A72=Param.SonstigEinmaligJahr7),Param.SonstigEinmaligBetrag7,0)</f>
        <v>0</v>
      </c>
      <c r="AC72" s="40">
        <f aca="1">IF(AND(Param.SonstigEinmaligKonto8="Depot",$A72=Param.SonstigEinmaligJahr8),Param.SonstigEinmaligBetrag8,0)</f>
        <v>0</v>
      </c>
      <c r="AD72" s="40">
        <f aca="1">IF(AND(Param.SonstigEinmaligKonto9="Depot",$A72=Param.SonstigEinmaligJahr9),Param.SonstigEinmaligBetrag9,0)</f>
        <v>0</v>
      </c>
      <c r="AE72" s="40">
        <f aca="1">IF(AND(Param.SonstigEinmaligKonto10="Depot",$A72=Param.SonstigEinmaligJahr10),Param.SonstigEinmaligBetrag10,0)</f>
        <v>0</v>
      </c>
      <c r="AF72" s="40">
        <f aca="1">Param.SparerPauschbetrag-BF72</f>
        <v>1000</v>
      </c>
      <c r="AG72" s="40">
        <f aca="1">IF(AND(A72&gt;=Param.FireStartjahr,S72&gt;0),MIN(N72*Q72,S72),0)</f>
        <v>0</v>
      </c>
      <c r="AH72" s="40">
        <f aca="1">IF(AG72&lt;=0,0,IF(S72&lt;=0,0,AG72/(1-MAX(0,((T72/S72)*(1-Param.Teilfreistellung)-MIN(AF72,AG72)/AG72)*Param.KapSt))))</f>
        <v>0</v>
      </c>
      <c r="AI72" s="40">
        <f>AH72-AG72</f>
        <v>0</v>
      </c>
      <c r="AJ72" s="40">
        <f>T72-AH72*(T72/S72)</f>
        <v>-30121.9732511266993</v>
      </c>
      <c r="AK72" s="40">
        <f>S72-AH72</f>
        <v>-30677.1011986601006</v>
      </c>
      <c r="AL72" s="40">
        <f>FV(AO72,12,-(U72/12),-AK72,0)</f>
        <v>-32517.7272705785035</v>
      </c>
      <c r="AM72" s="40">
        <f>AJ72+AL72-AK72-U72</f>
        <v>-31962.5993230450986</v>
      </c>
      <c r="AN72" s="5">
        <f>AM72/AL72</f>
        <v>0.982928451828314742</v>
      </c>
      <c r="AO72" s="5">
        <f aca="1">(1+IF(AND(A72&gt;=Param.DepotRenditeSpezBeginn1,A72&lt;=Param.DepotRenditeSpezEnde1),Param.DepotRenditeSpezProz1,IF(AND(A72&gt;=Param.DepotRenditeSpezBeginn2,A72&lt;=Param.DepotRenditeSpezEnde2),Param.DepotRenditeSpezProz2,IF(AND(A72&gt;=Param.DepotRenditeSpezBeginn3,A72&lt;=Param.DepotRenditeSpezEnde3),Param.DepotRenditeSpezProz3,IF(AND(A72&gt;=Param.DepotRenditeSpezBeginn4,A72&lt;=Param.DepotRenditeSpezEnde4),Param.DepotRenditeSpezProz4,IF(AND(A72&gt;=Param.DepotRenditeSpezBeginn5,A72&lt;=Param.DepotRenditeSpezEnde5),Param.DepotRenditeSpezProz5,Param.DepotRenditeDefault))))))^(1/12)-1</f>
        <v>0.00486755056533993979</v>
      </c>
      <c r="AP72" s="40">
        <f>BJ71</f>
        <v>0</v>
      </c>
      <c r="AQ72" s="40">
        <f aca="1">IF(A72&lt;Param.FireStartjahr,Param.SparrateFestgeldMonatl*12*(1+Param.SparrateDynamikJaehrl)^($A72-Param.Startjahr),0)</f>
        <v>0</v>
      </c>
      <c r="AR72" s="40">
        <f>O72</f>
        <v>0</v>
      </c>
      <c r="AS72" s="40">
        <f aca="1">IF(AND(Param.SonstigEinmaligKonto1="Festgeld",$A72=Param.SonstigEinmaligJahr1),Param.SonstigEinmaligBetrag1,0)</f>
        <v>0</v>
      </c>
      <c r="AT72" s="40">
        <f aca="1">IF(AND(Param.SonstigEinmaligKonto2="Festgeld",$A72=Param.SonstigEinmaligJahr2),Param.SonstigEinmaligBetrag2,0)</f>
        <v>0</v>
      </c>
      <c r="AU72" s="40">
        <f aca="1">IF(AND(Param.SonstigEinmaligKonto3="Festgeld",$A72=Param.SonstigEinmaligJahr3),Param.SonstigEinmaligBetrag3,0)</f>
        <v>0</v>
      </c>
      <c r="AV72" s="40">
        <f aca="1">IF(AND(Param.SonstigEinmaligKonto4="Festgeld",$A72=Param.SonstigEinmaligJahr4),Param.SonstigEinmaligBetrag4,0)</f>
        <v>0</v>
      </c>
      <c r="AW72" s="40">
        <f aca="1">IF(AND(Param.SonstigEinmaligKonto5="Festgeld",$A72=Param.SonstigEinmaligJahr5),Param.SonstigEinmaligBetrag5,0)</f>
        <v>0</v>
      </c>
      <c r="AX72" s="40">
        <f aca="1">IF(AND(Param.SonstigEinmaligKonto6="Festgeld",$A72=Param.SonstigEinmaligJahr6),Param.SonstigEinmaligBetrag6,0)</f>
        <v>0</v>
      </c>
      <c r="AY72" s="40">
        <f aca="1">IF(AND(Param.SonstigEinmaligKonto7="Festgeld",$A72=Param.SonstigEinmaligJahr7),Param.SonstigEinmaligBetrag7,0)</f>
        <v>0</v>
      </c>
      <c r="AZ72" s="40">
        <f aca="1">IF(AND(Param.SonstigEinmaligKonto8="Festgeld",$A72=Param.SonstigEinmaligJahr8),Param.SonstigEinmaligBetrag8,0)</f>
        <v>0</v>
      </c>
      <c r="BA72" s="40">
        <f aca="1">IF(AND(Param.SonstigEinmaligKonto9="Festgeld",$A72=Param.SonstigEinmaligJahr9),Param.SonstigEinmaligBetrag9,0)</f>
        <v>0</v>
      </c>
      <c r="BB72" s="40">
        <f aca="1">IF(AND(Param.SonstigEinmaligKonto10="Festgeld",$A72=Param.SonstigEinmaligJahr10),Param.SonstigEinmaligBetrag10,0)</f>
        <v>0</v>
      </c>
      <c r="BC72" s="40">
        <f aca="1">IF(AND(A72&gt;=Param.FireStartjahr,AP72&gt;0),MIN(N72*R72,AP72),0)</f>
        <v>0</v>
      </c>
      <c r="BD72" s="5">
        <f aca="1">Param.FestgeldZinssatz</f>
        <v>0.02</v>
      </c>
      <c r="BE72" s="40">
        <f>(AP72+AQ72-BC72)*BD72</f>
        <v>0</v>
      </c>
      <c r="BF72" s="40">
        <f aca="1">IF(BE72&gt;Param.SparerPauschbetrag,Param.SparerPauschbetrag,BE72)</f>
        <v>0</v>
      </c>
      <c r="BG72" s="40">
        <f>BE72-BF72</f>
        <v>0</v>
      </c>
      <c r="BH72" s="40">
        <f aca="1">BG72*Param.KapSt</f>
        <v>0</v>
      </c>
      <c r="BI72" s="40">
        <f>BE72-BH72</f>
        <v>0</v>
      </c>
      <c r="BJ72" s="63">
        <f>AP72+SUM(AQ72:BB72)-BC72+BI72</f>
        <v>0</v>
      </c>
      <c r="BK72" s="40">
        <f>AL72+BJ72</f>
        <v>-32517.7272705784999</v>
      </c>
      <c r="BL72" s="40">
        <f aca="1">BK72/(1+Param.Inflationsrate)^(A72-Param.Startjahr)</f>
        <v>-6217.57743856497291</v>
      </c>
      <c r="BM72" s="52">
        <f>IF(BK72&lt;N72,A72,"")</f>
        <v>2093</v>
      </c>
      <c r="BN72" s="40">
        <f>AH72+BC72</f>
        <v>0</v>
      </c>
      <c r="BO72" s="40">
        <f>SUM(AR72:BB72)</f>
        <v>0</v>
      </c>
      <c r="BP72" s="40">
        <f>BN72+(-1*BO72)</f>
        <v>0</v>
      </c>
      <c r="BQ72" s="40">
        <f>AI72+BH72</f>
        <v>0</v>
      </c>
      <c r="BR72" s="5">
        <f>IF(BK72&gt;0,BP72/BK72,0)</f>
        <v>0</v>
      </c>
    </row>
    <row r="73" spans="1:70">
      <c r="A73">
        <f>A72+1</f>
        <v>2094</v>
      </c>
      <c r="B73">
        <f>B15+(59-1)</f>
        <v>98</v>
      </c>
      <c r="C73" s="10">
        <f aca="1">IF(A73&lt;Param.FireStartjahr,0,Param.EntnahmeBetragStart*(1+Param.Inflationsrate)^(A73-Param.Startjahr))</f>
        <v>160821.497351719794</v>
      </c>
      <c r="D73" s="40">
        <f aca="1">IF(OR($A73&lt;Param.SonstigRegelmJahrBeginn1,$A73&gt;Param.SonstigRegelmJahrEnd1),0,Param.SonstigRegelmBetragJaehrl1*(1+Param.SonstigRegelmSteig1)^(A73-Param.SonstigRegelmJahrBeginn1))</f>
        <v>24503.8932807523197</v>
      </c>
      <c r="E73" s="40">
        <f aca="1">IF(OR($A73&lt;Param.SonstigRegelmJahrBeginn2,$A73&gt;Param.SonstigRegelmJahrEnd2),0,Param.SonstigRegelmBetragJaehrl2*(1+Param.SonstigRegelmSteig2)^($A73-Param.SonstigRegelmJahrBeginn2))</f>
        <v>0</v>
      </c>
      <c r="F73" s="40">
        <f aca="1">IF(OR($A73&lt;Param.SonstigRegelmJahrBeginn3,$A73&gt;Param.SonstigRegelmJahrEnd3),0,Param.SonstigRegelmBetragJaehrl3*(1+Param.SonstigRegelmSteig3)^($A73-Param.SonstigRegelmJahrBeginn3))</f>
        <v>0</v>
      </c>
      <c r="G73" s="40">
        <f aca="1">IF(OR($A73&lt;Param.SonstigRegelmJahrBeginn4,$A73&gt;Param.SonstigRegelmJahrEnd4),0,Param.SonstigRegelmBetragJaehrl4*(1+Param.SonstigRegelmSteig4)^($A73-Param.SonstigRegelmJahrBeginn4))</f>
        <v>0</v>
      </c>
      <c r="H73" s="40">
        <f aca="1">IF(OR($A73&lt;Param.SonstigRegelmJahrBeginn5,$A73&gt;Param.SonstigRegelmJahrEnd5),0,Param.SonstigRegelmBetragJaehrl5*(1+Param.SonstigRegelmSteig5)^($A73-Param.SonstigRegelmJahrBeginn5))</f>
        <v>0</v>
      </c>
      <c r="I73" s="40">
        <f aca="1">IF(OR($A73&lt;Param.SonstigRegelmJahrBeginn6,$A73&gt;Param.SonstigRegelmJahrEnd6),0,Param.SonstigRegelmBetragJaehrl6*(1+Param.SonstigRegelmSteig6)^($A73-Param.SonstigRegelmJahrBeginn6))</f>
        <v>0</v>
      </c>
      <c r="J73" s="40">
        <f aca="1">IF(OR($A73&lt;Param.SonstigRegelmJahrBeginn7,$A73&gt;Param.SonstigRegelmJahrEnd7),0,Param.SonstigRegelmBetragJaehrl7*(1+Param.SonstigRegelmSteig7)^($A73-Param.SonstigRegelmJahrBeginn7))</f>
        <v>0</v>
      </c>
      <c r="K73" s="40">
        <f aca="1">IF(OR($A73&lt;Param.SonstigRegelmJahrBeginn8,$A73&gt;Param.SonstigRegelmJahrEnd8),0,Param.SonstigRegelmBetragJaehrl8*(1+Param.SonstigRegelmSteig8)^($A73-Param.SonstigRegelmJahrBeginn8))</f>
        <v>0</v>
      </c>
      <c r="L73" s="40">
        <f aca="1">IF(OR($A73&lt;Param.SonstigRegelmJahrBeginn9,$A73&gt;Param.SonstigRegelmJahrEnd9),0,Param.SonstigRegelmBetragJaehrl9*(1+Param.SonstigRegelmSteig9)^($A73-Param.SonstigRegelmJahrBeginn9))</f>
        <v>0</v>
      </c>
      <c r="M73" s="40">
        <f aca="1">IF(OR($A73&lt;Param.SonstigRegelmJahrBeginn10,$A73&gt;Param.SonstigRegelmJahrEnd10),0,Param.SonstigRegelmBetragJaehrl10*(1+Param.SonstigRegelmSteig10)^($A73-Param.SonstigRegelmJahrBeginn10))</f>
        <v>0</v>
      </c>
      <c r="N73" s="10">
        <f>MAX(0,C73-SUM(D73:M73))</f>
        <v>136317.604070967704</v>
      </c>
      <c r="O73" s="10">
        <f>IF(N73&lt;=0,SUM(D73:M73)-C73,0)</f>
        <v>0</v>
      </c>
      <c r="P73" s="10">
        <f>S73+AP73</f>
        <v>-32517.7272705784999</v>
      </c>
      <c r="Q73" s="11">
        <f>IF(P73&gt;0,S73/P73,0)</f>
        <v>0</v>
      </c>
      <c r="R73" s="11">
        <f>IF(P73&gt;0,AP73/P73,0)</f>
        <v>0</v>
      </c>
      <c r="S73" s="10">
        <f>AL72</f>
        <v>-32517.7272705785035</v>
      </c>
      <c r="T73" s="40">
        <f>AM72</f>
        <v>-31962.5993230450986</v>
      </c>
      <c r="U73" s="40">
        <f aca="1">IF(A73&lt;Param.FireStartjahr,Param.SparrateDepotMonatl*12*(1+Param.SparrateDynamikJaehrl)^($A73-Param.Startjahr),0)</f>
        <v>0</v>
      </c>
      <c r="V73" s="40">
        <f aca="1">IF(AND(Param.SonstigEinmaligKonto1="Depot",$A73=Param.SonstigEinmaligJahr1),Param.SonstigEinmaligBetrag1,0)</f>
        <v>0</v>
      </c>
      <c r="W73" s="40">
        <f aca="1">IF(AND(Param.SonstigEinmaligKonto2="Depot",$A73=Param.SonstigEinmaligJahr2),Param.SonstigEinmaligBetrag2,0)</f>
        <v>0</v>
      </c>
      <c r="X73" s="40">
        <f aca="1">IF(AND(Param.SonstigEinmaligKonto3="Depot",$A73=Param.SonstigEinmaligJahr3),Param.SonstigEinmaligBetrag3,0)</f>
        <v>0</v>
      </c>
      <c r="Y73" s="40">
        <f aca="1">IF(AND(Param.SonstigEinmaligKonto4="Depot",$A73=Param.SonstigEinmaligJahr4),Param.SonstigEinmaligBetrag4,0)</f>
        <v>0</v>
      </c>
      <c r="Z73" s="40">
        <f aca="1">IF(AND(Param.SonstigEinmaligKonto5="Depot",$A73=Param.SonstigEinmaligJahr5),Param.SonstigEinmaligBetrag5,0)</f>
        <v>0</v>
      </c>
      <c r="AA73" s="40">
        <f aca="1">IF(AND(Param.SonstigEinmaligKonto6="Depot",$A73=Param.SonstigEinmaligJahr6),Param.SonstigEinmaligBetrag6,0)</f>
        <v>0</v>
      </c>
      <c r="AB73" s="40">
        <f aca="1">IF(AND(Param.SonstigEinmaligKonto7="Depot",$A73=Param.SonstigEinmaligJahr7),Param.SonstigEinmaligBetrag7,0)</f>
        <v>0</v>
      </c>
      <c r="AC73" s="40">
        <f aca="1">IF(AND(Param.SonstigEinmaligKonto8="Depot",$A73=Param.SonstigEinmaligJahr8),Param.SonstigEinmaligBetrag8,0)</f>
        <v>0</v>
      </c>
      <c r="AD73" s="40">
        <f aca="1">IF(AND(Param.SonstigEinmaligKonto9="Depot",$A73=Param.SonstigEinmaligJahr9),Param.SonstigEinmaligBetrag9,0)</f>
        <v>0</v>
      </c>
      <c r="AE73" s="40">
        <f aca="1">IF(AND(Param.SonstigEinmaligKonto10="Depot",$A73=Param.SonstigEinmaligJahr10),Param.SonstigEinmaligBetrag10,0)</f>
        <v>0</v>
      </c>
      <c r="AF73" s="40">
        <f aca="1">Param.SparerPauschbetrag-BF73</f>
        <v>1000</v>
      </c>
      <c r="AG73" s="40">
        <f aca="1">IF(AND(A73&gt;=Param.FireStartjahr,S73&gt;0),MIN(N73*Q73,S73),0)</f>
        <v>0</v>
      </c>
      <c r="AH73" s="40">
        <f aca="1">IF(AG73&lt;=0,0,IF(S73&lt;=0,0,AG73/(1-MAX(0,((T73/S73)*(1-Param.Teilfreistellung)-MIN(AF73,AG73)/AG73)*Param.KapSt))))</f>
        <v>0</v>
      </c>
      <c r="AI73" s="40">
        <f>AH73-AG73</f>
        <v>0</v>
      </c>
      <c r="AJ73" s="40">
        <f>T73-AH73*(T73/S73)</f>
        <v>-31962.5993230450986</v>
      </c>
      <c r="AK73" s="40">
        <f>S73-AH73</f>
        <v>-32517.7272705784999</v>
      </c>
      <c r="AL73" s="40">
        <f>FV(AO73,12,-(U73/12),-AK73,0)</f>
        <v>-34468.7909068119334</v>
      </c>
      <c r="AM73" s="40">
        <f>AJ73+AL73-AK73-U73</f>
        <v>-33913.662959278503</v>
      </c>
      <c r="AN73" s="5">
        <f>AM73/AL73</f>
        <v>0.983894765875768229</v>
      </c>
      <c r="AO73" s="5">
        <f aca="1">(1+IF(AND(A73&gt;=Param.DepotRenditeSpezBeginn1,A73&lt;=Param.DepotRenditeSpezEnde1),Param.DepotRenditeSpezProz1,IF(AND(A73&gt;=Param.DepotRenditeSpezBeginn2,A73&lt;=Param.DepotRenditeSpezEnde2),Param.DepotRenditeSpezProz2,IF(AND(A73&gt;=Param.DepotRenditeSpezBeginn3,A73&lt;=Param.DepotRenditeSpezEnde3),Param.DepotRenditeSpezProz3,IF(AND(A73&gt;=Param.DepotRenditeSpezBeginn4,A73&lt;=Param.DepotRenditeSpezEnde4),Param.DepotRenditeSpezProz4,IF(AND(A73&gt;=Param.DepotRenditeSpezBeginn5,A73&lt;=Param.DepotRenditeSpezEnde5),Param.DepotRenditeSpezProz5,Param.DepotRenditeDefault))))))^(1/12)-1</f>
        <v>0.00486755056533993979</v>
      </c>
      <c r="AP73" s="40">
        <f>BJ72</f>
        <v>0</v>
      </c>
      <c r="AQ73" s="40">
        <f aca="1">IF(A73&lt;Param.FireStartjahr,Param.SparrateFestgeldMonatl*12*(1+Param.SparrateDynamikJaehrl)^($A73-Param.Startjahr),0)</f>
        <v>0</v>
      </c>
      <c r="AR73" s="40">
        <f>O73</f>
        <v>0</v>
      </c>
      <c r="AS73" s="40">
        <f aca="1">IF(AND(Param.SonstigEinmaligKonto1="Festgeld",$A73=Param.SonstigEinmaligJahr1),Param.SonstigEinmaligBetrag1,0)</f>
        <v>0</v>
      </c>
      <c r="AT73" s="40">
        <f aca="1">IF(AND(Param.SonstigEinmaligKonto2="Festgeld",$A73=Param.SonstigEinmaligJahr2),Param.SonstigEinmaligBetrag2,0)</f>
        <v>0</v>
      </c>
      <c r="AU73" s="40">
        <f aca="1">IF(AND(Param.SonstigEinmaligKonto3="Festgeld",$A73=Param.SonstigEinmaligJahr3),Param.SonstigEinmaligBetrag3,0)</f>
        <v>0</v>
      </c>
      <c r="AV73" s="40">
        <f aca="1">IF(AND(Param.SonstigEinmaligKonto4="Festgeld",$A73=Param.SonstigEinmaligJahr4),Param.SonstigEinmaligBetrag4,0)</f>
        <v>0</v>
      </c>
      <c r="AW73" s="40">
        <f aca="1">IF(AND(Param.SonstigEinmaligKonto5="Festgeld",$A73=Param.SonstigEinmaligJahr5),Param.SonstigEinmaligBetrag5,0)</f>
        <v>0</v>
      </c>
      <c r="AX73" s="40">
        <f aca="1">IF(AND(Param.SonstigEinmaligKonto6="Festgeld",$A73=Param.SonstigEinmaligJahr6),Param.SonstigEinmaligBetrag6,0)</f>
        <v>0</v>
      </c>
      <c r="AY73" s="40">
        <f aca="1">IF(AND(Param.SonstigEinmaligKonto7="Festgeld",$A73=Param.SonstigEinmaligJahr7),Param.SonstigEinmaligBetrag7,0)</f>
        <v>0</v>
      </c>
      <c r="AZ73" s="40">
        <f aca="1">IF(AND(Param.SonstigEinmaligKonto8="Festgeld",$A73=Param.SonstigEinmaligJahr8),Param.SonstigEinmaligBetrag8,0)</f>
        <v>0</v>
      </c>
      <c r="BA73" s="40">
        <f aca="1">IF(AND(Param.SonstigEinmaligKonto9="Festgeld",$A73=Param.SonstigEinmaligJahr9),Param.SonstigEinmaligBetrag9,0)</f>
        <v>0</v>
      </c>
      <c r="BB73" s="40">
        <f aca="1">IF(AND(Param.SonstigEinmaligKonto10="Festgeld",$A73=Param.SonstigEinmaligJahr10),Param.SonstigEinmaligBetrag10,0)</f>
        <v>0</v>
      </c>
      <c r="BC73" s="40">
        <f aca="1">IF(AND(A73&gt;=Param.FireStartjahr,AP73&gt;0),MIN(N73*R73,AP73),0)</f>
        <v>0</v>
      </c>
      <c r="BD73" s="5">
        <f aca="1">Param.FestgeldZinssatz</f>
        <v>0.02</v>
      </c>
      <c r="BE73" s="40">
        <f>(AP73+AQ73-BC73)*BD73</f>
        <v>0</v>
      </c>
      <c r="BF73" s="40">
        <f aca="1">IF(BE73&gt;Param.SparerPauschbetrag,Param.SparerPauschbetrag,BE73)</f>
        <v>0</v>
      </c>
      <c r="BG73" s="40">
        <f>BE73-BF73</f>
        <v>0</v>
      </c>
      <c r="BH73" s="40">
        <f aca="1">BG73*Param.KapSt</f>
        <v>0</v>
      </c>
      <c r="BI73" s="40">
        <f>BE73-BH73</f>
        <v>0</v>
      </c>
      <c r="BJ73" s="63">
        <f>AP73+SUM(AQ73:BB73)-BC73+BI73</f>
        <v>0</v>
      </c>
      <c r="BK73" s="40">
        <f>AL73+BJ73</f>
        <v>-34468.790906811897</v>
      </c>
      <c r="BL73" s="40">
        <f aca="1">BK73/(1+Param.Inflationsrate)^(A73-Param.Startjahr)</f>
        <v>-6429.88496085718634</v>
      </c>
      <c r="BM73" s="52">
        <f>IF(BK73&lt;N73,A73,"")</f>
        <v>2094</v>
      </c>
      <c r="BN73" s="40">
        <f>AH73+BC73</f>
        <v>0</v>
      </c>
      <c r="BO73" s="40">
        <f>SUM(AR73:BB73)</f>
        <v>0</v>
      </c>
      <c r="BP73" s="40">
        <f>BN73+(-1*BO73)</f>
        <v>0</v>
      </c>
      <c r="BQ73" s="40">
        <f>AI73+BH73</f>
        <v>0</v>
      </c>
      <c r="BR73" s="5">
        <f>IF(BK73&gt;0,BP73/BK73,0)</f>
        <v>0</v>
      </c>
    </row>
    <row r="74" spans="1:70">
      <c r="A74">
        <f>A73+1</f>
        <v>2095</v>
      </c>
      <c r="B74">
        <f>B16+(59-1)</f>
        <v>99</v>
      </c>
      <c r="C74" s="10">
        <f aca="1">IF(A74&lt;Param.FireStartjahr,0,Param.EntnahmeBetragStart*(1+Param.Inflationsrate)^(A74-Param.Startjahr))</f>
        <v>164842.034785512602</v>
      </c>
      <c r="D74" s="40">
        <f aca="1">IF(OR($A74&lt;Param.SonstigRegelmJahrBeginn1,$A74&gt;Param.SonstigRegelmJahrEnd1),0,Param.SonstigRegelmBetragJaehrl1*(1+Param.SonstigRegelmSteig1)^(A74-Param.SonstigRegelmJahrBeginn1))</f>
        <v>24748.9322135598013</v>
      </c>
      <c r="E74" s="40">
        <f aca="1">IF(OR($A74&lt;Param.SonstigRegelmJahrBeginn2,$A74&gt;Param.SonstigRegelmJahrEnd2),0,Param.SonstigRegelmBetragJaehrl2*(1+Param.SonstigRegelmSteig2)^($A74-Param.SonstigRegelmJahrBeginn2))</f>
        <v>0</v>
      </c>
      <c r="F74" s="40">
        <f aca="1">IF(OR($A74&lt;Param.SonstigRegelmJahrBeginn3,$A74&gt;Param.SonstigRegelmJahrEnd3),0,Param.SonstigRegelmBetragJaehrl3*(1+Param.SonstigRegelmSteig3)^($A74-Param.SonstigRegelmJahrBeginn3))</f>
        <v>0</v>
      </c>
      <c r="G74" s="40">
        <f aca="1">IF(OR($A74&lt;Param.SonstigRegelmJahrBeginn4,$A74&gt;Param.SonstigRegelmJahrEnd4),0,Param.SonstigRegelmBetragJaehrl4*(1+Param.SonstigRegelmSteig4)^($A74-Param.SonstigRegelmJahrBeginn4))</f>
        <v>0</v>
      </c>
      <c r="H74" s="40">
        <f aca="1">IF(OR($A74&lt;Param.SonstigRegelmJahrBeginn5,$A74&gt;Param.SonstigRegelmJahrEnd5),0,Param.SonstigRegelmBetragJaehrl5*(1+Param.SonstigRegelmSteig5)^($A74-Param.SonstigRegelmJahrBeginn5))</f>
        <v>0</v>
      </c>
      <c r="I74" s="40">
        <f aca="1">IF(OR($A74&lt;Param.SonstigRegelmJahrBeginn6,$A74&gt;Param.SonstigRegelmJahrEnd6),0,Param.SonstigRegelmBetragJaehrl6*(1+Param.SonstigRegelmSteig6)^($A74-Param.SonstigRegelmJahrBeginn6))</f>
        <v>0</v>
      </c>
      <c r="J74" s="40">
        <f aca="1">IF(OR($A74&lt;Param.SonstigRegelmJahrBeginn7,$A74&gt;Param.SonstigRegelmJahrEnd7),0,Param.SonstigRegelmBetragJaehrl7*(1+Param.SonstigRegelmSteig7)^($A74-Param.SonstigRegelmJahrBeginn7))</f>
        <v>0</v>
      </c>
      <c r="K74" s="40">
        <f aca="1">IF(OR($A74&lt;Param.SonstigRegelmJahrBeginn8,$A74&gt;Param.SonstigRegelmJahrEnd8),0,Param.SonstigRegelmBetragJaehrl8*(1+Param.SonstigRegelmSteig8)^($A74-Param.SonstigRegelmJahrBeginn8))</f>
        <v>0</v>
      </c>
      <c r="L74" s="40">
        <f aca="1">IF(OR($A74&lt;Param.SonstigRegelmJahrBeginn9,$A74&gt;Param.SonstigRegelmJahrEnd9),0,Param.SonstigRegelmBetragJaehrl9*(1+Param.SonstigRegelmSteig9)^($A74-Param.SonstigRegelmJahrBeginn9))</f>
        <v>0</v>
      </c>
      <c r="M74" s="40">
        <f aca="1">IF(OR($A74&lt;Param.SonstigRegelmJahrBeginn10,$A74&gt;Param.SonstigRegelmJahrEnd10),0,Param.SonstigRegelmBetragJaehrl10*(1+Param.SonstigRegelmSteig10)^($A74-Param.SonstigRegelmJahrBeginn10))</f>
        <v>0</v>
      </c>
      <c r="N74" s="10">
        <f>MAX(0,C74-SUM(D74:M74))</f>
        <v>140093.102571953204</v>
      </c>
      <c r="O74" s="10">
        <f>IF(N74&lt;=0,SUM(D74:M74)-C74,0)</f>
        <v>0</v>
      </c>
      <c r="P74" s="10">
        <f>S74+AP74</f>
        <v>-34468.790906811897</v>
      </c>
      <c r="Q74" s="11">
        <f>IF(P74&gt;0,S74/P74,0)</f>
        <v>0</v>
      </c>
      <c r="R74" s="11">
        <f>IF(P74&gt;0,AP74/P74,0)</f>
        <v>0</v>
      </c>
      <c r="S74" s="10">
        <f>AL73</f>
        <v>-34468.7909068119334</v>
      </c>
      <c r="T74" s="40">
        <f>AM73</f>
        <v>-33913.662959278503</v>
      </c>
      <c r="U74" s="40">
        <f aca="1">IF(A74&lt;Param.FireStartjahr,Param.SparrateDepotMonatl*12*(1+Param.SparrateDynamikJaehrl)^($A74-Param.Startjahr),0)</f>
        <v>0</v>
      </c>
      <c r="V74" s="40">
        <f aca="1">IF(AND(Param.SonstigEinmaligKonto1="Depot",$A74=Param.SonstigEinmaligJahr1),Param.SonstigEinmaligBetrag1,0)</f>
        <v>0</v>
      </c>
      <c r="W74" s="40">
        <f aca="1">IF(AND(Param.SonstigEinmaligKonto2="Depot",$A74=Param.SonstigEinmaligJahr2),Param.SonstigEinmaligBetrag2,0)</f>
        <v>0</v>
      </c>
      <c r="X74" s="40">
        <f aca="1">IF(AND(Param.SonstigEinmaligKonto3="Depot",$A74=Param.SonstigEinmaligJahr3),Param.SonstigEinmaligBetrag3,0)</f>
        <v>0</v>
      </c>
      <c r="Y74" s="40">
        <f aca="1">IF(AND(Param.SonstigEinmaligKonto4="Depot",$A74=Param.SonstigEinmaligJahr4),Param.SonstigEinmaligBetrag4,0)</f>
        <v>0</v>
      </c>
      <c r="Z74" s="40">
        <f aca="1">IF(AND(Param.SonstigEinmaligKonto5="Depot",$A74=Param.SonstigEinmaligJahr5),Param.SonstigEinmaligBetrag5,0)</f>
        <v>0</v>
      </c>
      <c r="AA74" s="40">
        <f aca="1">IF(AND(Param.SonstigEinmaligKonto6="Depot",$A74=Param.SonstigEinmaligJahr6),Param.SonstigEinmaligBetrag6,0)</f>
        <v>0</v>
      </c>
      <c r="AB74" s="40">
        <f aca="1">IF(AND(Param.SonstigEinmaligKonto7="Depot",$A74=Param.SonstigEinmaligJahr7),Param.SonstigEinmaligBetrag7,0)</f>
        <v>0</v>
      </c>
      <c r="AC74" s="40">
        <f aca="1">IF(AND(Param.SonstigEinmaligKonto8="Depot",$A74=Param.SonstigEinmaligJahr8),Param.SonstigEinmaligBetrag8,0)</f>
        <v>0</v>
      </c>
      <c r="AD74" s="40">
        <f aca="1">IF(AND(Param.SonstigEinmaligKonto9="Depot",$A74=Param.SonstigEinmaligJahr9),Param.SonstigEinmaligBetrag9,0)</f>
        <v>0</v>
      </c>
      <c r="AE74" s="40">
        <f aca="1">IF(AND(Param.SonstigEinmaligKonto10="Depot",$A74=Param.SonstigEinmaligJahr10),Param.SonstigEinmaligBetrag10,0)</f>
        <v>0</v>
      </c>
      <c r="AF74" s="40">
        <f aca="1">Param.SparerPauschbetrag-BF74</f>
        <v>1000</v>
      </c>
      <c r="AG74" s="40">
        <f aca="1">IF(AND(A74&gt;=Param.FireStartjahr,S74&gt;0),MIN(N74*Q74,S74),0)</f>
        <v>0</v>
      </c>
      <c r="AH74" s="40">
        <f aca="1">IF(AG74&lt;=0,0,IF(S74&lt;=0,0,AG74/(1-MAX(0,((T74/S74)*(1-Param.Teilfreistellung)-MIN(AF74,AG74)/AG74)*Param.KapSt))))</f>
        <v>0</v>
      </c>
      <c r="AI74" s="40">
        <f>AH74-AG74</f>
        <v>0</v>
      </c>
      <c r="AJ74" s="40">
        <f>T74-AH74*(T74/S74)</f>
        <v>-33913.662959278503</v>
      </c>
      <c r="AK74" s="40">
        <f>S74-AH74</f>
        <v>-34468.790906811897</v>
      </c>
      <c r="AL74" s="40">
        <f>FV(AO74,12,-(U74/12),-AK74,0)</f>
        <v>-36536.9183612192573</v>
      </c>
      <c r="AM74" s="40">
        <f>AJ74+AL74-AK74-U74</f>
        <v>-35981.7904136858997</v>
      </c>
      <c r="AN74" s="5">
        <f>AM74/AL74</f>
        <v>0.984806382901667376</v>
      </c>
      <c r="AO74" s="5">
        <f aca="1">(1+IF(AND(A74&gt;=Param.DepotRenditeSpezBeginn1,A74&lt;=Param.DepotRenditeSpezEnde1),Param.DepotRenditeSpezProz1,IF(AND(A74&gt;=Param.DepotRenditeSpezBeginn2,A74&lt;=Param.DepotRenditeSpezEnde2),Param.DepotRenditeSpezProz2,IF(AND(A74&gt;=Param.DepotRenditeSpezBeginn3,A74&lt;=Param.DepotRenditeSpezEnde3),Param.DepotRenditeSpezProz3,IF(AND(A74&gt;=Param.DepotRenditeSpezBeginn4,A74&lt;=Param.DepotRenditeSpezEnde4),Param.DepotRenditeSpezProz4,IF(AND(A74&gt;=Param.DepotRenditeSpezBeginn5,A74&lt;=Param.DepotRenditeSpezEnde5),Param.DepotRenditeSpezProz5,Param.DepotRenditeDefault))))))^(1/12)-1</f>
        <v>0.00486755056533993979</v>
      </c>
      <c r="AP74" s="40">
        <f>BJ73</f>
        <v>0</v>
      </c>
      <c r="AQ74" s="40">
        <f aca="1">IF(A74&lt;Param.FireStartjahr,Param.SparrateFestgeldMonatl*12*(1+Param.SparrateDynamikJaehrl)^($A74-Param.Startjahr),0)</f>
        <v>0</v>
      </c>
      <c r="AR74" s="40">
        <f>O74</f>
        <v>0</v>
      </c>
      <c r="AS74" s="40">
        <f aca="1">IF(AND(Param.SonstigEinmaligKonto1="Festgeld",$A74=Param.SonstigEinmaligJahr1),Param.SonstigEinmaligBetrag1,0)</f>
        <v>0</v>
      </c>
      <c r="AT74" s="40">
        <f aca="1">IF(AND(Param.SonstigEinmaligKonto2="Festgeld",$A74=Param.SonstigEinmaligJahr2),Param.SonstigEinmaligBetrag2,0)</f>
        <v>0</v>
      </c>
      <c r="AU74" s="40">
        <f aca="1">IF(AND(Param.SonstigEinmaligKonto3="Festgeld",$A74=Param.SonstigEinmaligJahr3),Param.SonstigEinmaligBetrag3,0)</f>
        <v>0</v>
      </c>
      <c r="AV74" s="40">
        <f aca="1">IF(AND(Param.SonstigEinmaligKonto4="Festgeld",$A74=Param.SonstigEinmaligJahr4),Param.SonstigEinmaligBetrag4,0)</f>
        <v>0</v>
      </c>
      <c r="AW74" s="40">
        <f aca="1">IF(AND(Param.SonstigEinmaligKonto5="Festgeld",$A74=Param.SonstigEinmaligJahr5),Param.SonstigEinmaligBetrag5,0)</f>
        <v>0</v>
      </c>
      <c r="AX74" s="40">
        <f aca="1">IF(AND(Param.SonstigEinmaligKonto6="Festgeld",$A74=Param.SonstigEinmaligJahr6),Param.SonstigEinmaligBetrag6,0)</f>
        <v>0</v>
      </c>
      <c r="AY74" s="40">
        <f aca="1">IF(AND(Param.SonstigEinmaligKonto7="Festgeld",$A74=Param.SonstigEinmaligJahr7),Param.SonstigEinmaligBetrag7,0)</f>
        <v>0</v>
      </c>
      <c r="AZ74" s="40">
        <f aca="1">IF(AND(Param.SonstigEinmaligKonto8="Festgeld",$A74=Param.SonstigEinmaligJahr8),Param.SonstigEinmaligBetrag8,0)</f>
        <v>0</v>
      </c>
      <c r="BA74" s="40">
        <f aca="1">IF(AND(Param.SonstigEinmaligKonto9="Festgeld",$A74=Param.SonstigEinmaligJahr9),Param.SonstigEinmaligBetrag9,0)</f>
        <v>0</v>
      </c>
      <c r="BB74" s="40">
        <f aca="1">IF(AND(Param.SonstigEinmaligKonto10="Festgeld",$A74=Param.SonstigEinmaligJahr10),Param.SonstigEinmaligBetrag10,0)</f>
        <v>0</v>
      </c>
      <c r="BC74" s="40">
        <f aca="1">IF(AND(A74&gt;=Param.FireStartjahr,AP74&gt;0),MIN(N74*R74,AP74),0)</f>
        <v>0</v>
      </c>
      <c r="BD74" s="5">
        <f aca="1">Param.FestgeldZinssatz</f>
        <v>0.02</v>
      </c>
      <c r="BE74" s="40">
        <f>(AP74+AQ74-BC74)*BD74</f>
        <v>0</v>
      </c>
      <c r="BF74" s="40">
        <f aca="1">IF(BE74&gt;Param.SparerPauschbetrag,Param.SparerPauschbetrag,BE74)</f>
        <v>0</v>
      </c>
      <c r="BG74" s="40">
        <f>BE74-BF74</f>
        <v>0</v>
      </c>
      <c r="BH74" s="40">
        <f aca="1">BG74*Param.KapSt</f>
        <v>0</v>
      </c>
      <c r="BI74" s="40">
        <f>BE74-BH74</f>
        <v>0</v>
      </c>
      <c r="BJ74" s="63">
        <f>AP74+SUM(AQ74:BB74)-BC74+BI74</f>
        <v>0</v>
      </c>
      <c r="BK74" s="40">
        <f>AL74+BJ74</f>
        <v>-36536.918361219301</v>
      </c>
      <c r="BL74" s="40">
        <f aca="1">BK74/(1+Param.Inflationsrate)^(A74-Param.Startjahr)</f>
        <v>-6649.44200830085902</v>
      </c>
      <c r="BM74" s="52">
        <f>IF(BK74&lt;N74,A74,"")</f>
        <v>2095</v>
      </c>
      <c r="BN74" s="40">
        <f>AH74+BC74</f>
        <v>0</v>
      </c>
      <c r="BO74" s="40">
        <f>SUM(AR74:BB74)</f>
        <v>0</v>
      </c>
      <c r="BP74" s="40">
        <f>BN74+(-1*BO74)</f>
        <v>0</v>
      </c>
      <c r="BQ74" s="40">
        <f>AI74+BH74</f>
        <v>0</v>
      </c>
      <c r="BR74" s="5">
        <f>IF(BK74&gt;0,BP74/BK74,0)</f>
        <v>0</v>
      </c>
    </row>
    <row r="75" spans="1:70">
      <c r="A75">
        <f>A74+1</f>
        <v>2096</v>
      </c>
      <c r="B75">
        <f>B17+(59-1)</f>
        <v>100</v>
      </c>
      <c r="C75" s="10">
        <f aca="1">IF(A75&lt;Param.FireStartjahr,0,Param.EntnahmeBetragStart*(1+Param.Inflationsrate)^(A75-Param.Startjahr))</f>
        <v>168963.085655150382</v>
      </c>
      <c r="D75" s="40">
        <f aca="1">IF(OR($A75&lt;Param.SonstigRegelmJahrBeginn1,$A75&gt;Param.SonstigRegelmJahrEnd1),0,Param.SonstigRegelmBetragJaehrl1*(1+Param.SonstigRegelmSteig1)^(A75-Param.SonstigRegelmJahrBeginn1))</f>
        <v>24996.4215356953791</v>
      </c>
      <c r="E75" s="40">
        <f aca="1">IF(OR($A75&lt;Param.SonstigRegelmJahrBeginn2,$A75&gt;Param.SonstigRegelmJahrEnd2),0,Param.SonstigRegelmBetragJaehrl2*(1+Param.SonstigRegelmSteig2)^($A75-Param.SonstigRegelmJahrBeginn2))</f>
        <v>0</v>
      </c>
      <c r="F75" s="40">
        <f aca="1">IF(OR($A75&lt;Param.SonstigRegelmJahrBeginn3,$A75&gt;Param.SonstigRegelmJahrEnd3),0,Param.SonstigRegelmBetragJaehrl3*(1+Param.SonstigRegelmSteig3)^($A75-Param.SonstigRegelmJahrBeginn3))</f>
        <v>0</v>
      </c>
      <c r="G75" s="40">
        <f aca="1">IF(OR($A75&lt;Param.SonstigRegelmJahrBeginn4,$A75&gt;Param.SonstigRegelmJahrEnd4),0,Param.SonstigRegelmBetragJaehrl4*(1+Param.SonstigRegelmSteig4)^($A75-Param.SonstigRegelmJahrBeginn4))</f>
        <v>0</v>
      </c>
      <c r="H75" s="40">
        <f aca="1">IF(OR($A75&lt;Param.SonstigRegelmJahrBeginn5,$A75&gt;Param.SonstigRegelmJahrEnd5),0,Param.SonstigRegelmBetragJaehrl5*(1+Param.SonstigRegelmSteig5)^($A75-Param.SonstigRegelmJahrBeginn5))</f>
        <v>0</v>
      </c>
      <c r="I75" s="40">
        <f aca="1">IF(OR($A75&lt;Param.SonstigRegelmJahrBeginn6,$A75&gt;Param.SonstigRegelmJahrEnd6),0,Param.SonstigRegelmBetragJaehrl6*(1+Param.SonstigRegelmSteig6)^($A75-Param.SonstigRegelmJahrBeginn6))</f>
        <v>0</v>
      </c>
      <c r="J75" s="40">
        <f aca="1">IF(OR($A75&lt;Param.SonstigRegelmJahrBeginn7,$A75&gt;Param.SonstigRegelmJahrEnd7),0,Param.SonstigRegelmBetragJaehrl7*(1+Param.SonstigRegelmSteig7)^($A75-Param.SonstigRegelmJahrBeginn7))</f>
        <v>0</v>
      </c>
      <c r="K75" s="40">
        <f aca="1">IF(OR($A75&lt;Param.SonstigRegelmJahrBeginn8,$A75&gt;Param.SonstigRegelmJahrEnd8),0,Param.SonstigRegelmBetragJaehrl8*(1+Param.SonstigRegelmSteig8)^($A75-Param.SonstigRegelmJahrBeginn8))</f>
        <v>0</v>
      </c>
      <c r="L75" s="40">
        <f aca="1">IF(OR($A75&lt;Param.SonstigRegelmJahrBeginn9,$A75&gt;Param.SonstigRegelmJahrEnd9),0,Param.SonstigRegelmBetragJaehrl9*(1+Param.SonstigRegelmSteig9)^($A75-Param.SonstigRegelmJahrBeginn9))</f>
        <v>0</v>
      </c>
      <c r="M75" s="40">
        <f aca="1">IF(OR($A75&lt;Param.SonstigRegelmJahrBeginn10,$A75&gt;Param.SonstigRegelmJahrEnd10),0,Param.SonstigRegelmBetragJaehrl10*(1+Param.SonstigRegelmSteig10)^($A75-Param.SonstigRegelmJahrBeginn10))</f>
        <v>0</v>
      </c>
      <c r="N75" s="10">
        <f>MAX(0,C75-SUM(D75:M75))</f>
        <v>143966.664119454595</v>
      </c>
      <c r="O75" s="10">
        <f>IF(N75&lt;=0,SUM(D75:M75)-C75,0)</f>
        <v>0</v>
      </c>
      <c r="P75" s="10">
        <f>S75+AP75</f>
        <v>-36536.918361219301</v>
      </c>
      <c r="Q75" s="11">
        <f>IF(P75&gt;0,S75/P75,0)</f>
        <v>0</v>
      </c>
      <c r="R75" s="11">
        <f>IF(P75&gt;0,AP75/P75,0)</f>
        <v>0</v>
      </c>
      <c r="S75" s="10">
        <f>AL74</f>
        <v>-36536.9183612192573</v>
      </c>
      <c r="T75" s="40">
        <f>AM74</f>
        <v>-35981.7904136858997</v>
      </c>
      <c r="U75" s="40">
        <f aca="1">IF(A75&lt;Param.FireStartjahr,Param.SparrateDepotMonatl*12*(1+Param.SparrateDynamikJaehrl)^($A75-Param.Startjahr),0)</f>
        <v>0</v>
      </c>
      <c r="V75" s="40">
        <f aca="1">IF(AND(Param.SonstigEinmaligKonto1="Depot",$A75=Param.SonstigEinmaligJahr1),Param.SonstigEinmaligBetrag1,0)</f>
        <v>0</v>
      </c>
      <c r="W75" s="40">
        <f aca="1">IF(AND(Param.SonstigEinmaligKonto2="Depot",$A75=Param.SonstigEinmaligJahr2),Param.SonstigEinmaligBetrag2,0)</f>
        <v>0</v>
      </c>
      <c r="X75" s="40">
        <f aca="1">IF(AND(Param.SonstigEinmaligKonto3="Depot",$A75=Param.SonstigEinmaligJahr3),Param.SonstigEinmaligBetrag3,0)</f>
        <v>0</v>
      </c>
      <c r="Y75" s="40">
        <f aca="1">IF(AND(Param.SonstigEinmaligKonto4="Depot",$A75=Param.SonstigEinmaligJahr4),Param.SonstigEinmaligBetrag4,0)</f>
        <v>0</v>
      </c>
      <c r="Z75" s="40">
        <f aca="1">IF(AND(Param.SonstigEinmaligKonto5="Depot",$A75=Param.SonstigEinmaligJahr5),Param.SonstigEinmaligBetrag5,0)</f>
        <v>0</v>
      </c>
      <c r="AA75" s="40">
        <f aca="1">IF(AND(Param.SonstigEinmaligKonto6="Depot",$A75=Param.SonstigEinmaligJahr6),Param.SonstigEinmaligBetrag6,0)</f>
        <v>0</v>
      </c>
      <c r="AB75" s="40">
        <f aca="1">IF(AND(Param.SonstigEinmaligKonto7="Depot",$A75=Param.SonstigEinmaligJahr7),Param.SonstigEinmaligBetrag7,0)</f>
        <v>0</v>
      </c>
      <c r="AC75" s="40">
        <f aca="1">IF(AND(Param.SonstigEinmaligKonto8="Depot",$A75=Param.SonstigEinmaligJahr8),Param.SonstigEinmaligBetrag8,0)</f>
        <v>0</v>
      </c>
      <c r="AD75" s="40">
        <f aca="1">IF(AND(Param.SonstigEinmaligKonto9="Depot",$A75=Param.SonstigEinmaligJahr9),Param.SonstigEinmaligBetrag9,0)</f>
        <v>0</v>
      </c>
      <c r="AE75" s="40">
        <f aca="1">IF(AND(Param.SonstigEinmaligKonto10="Depot",$A75=Param.SonstigEinmaligJahr10),Param.SonstigEinmaligBetrag10,0)</f>
        <v>0</v>
      </c>
      <c r="AF75" s="40">
        <f aca="1">Param.SparerPauschbetrag-BF75</f>
        <v>1000</v>
      </c>
      <c r="AG75" s="40">
        <f aca="1">IF(AND(A75&gt;=Param.FireStartjahr,S75&gt;0),MIN(N75*Q75,S75),0)</f>
        <v>0</v>
      </c>
      <c r="AH75" s="40">
        <f aca="1">IF(AG75&lt;=0,0,IF(S75&lt;=0,0,AG75/(1-MAX(0,((T75/S75)*(1-Param.Teilfreistellung)-MIN(AF75,AG75)/AG75)*Param.KapSt))))</f>
        <v>0</v>
      </c>
      <c r="AI75" s="40">
        <f>AH75-AG75</f>
        <v>0</v>
      </c>
      <c r="AJ75" s="40">
        <f>T75-AH75*(T75/S75)</f>
        <v>-35981.7904136858997</v>
      </c>
      <c r="AK75" s="40">
        <f>S75-AH75</f>
        <v>-36536.918361219301</v>
      </c>
      <c r="AL75" s="40">
        <f>FV(AO75,12,-(U75/12),-AK75,0)</f>
        <v>-38729.1334628910263</v>
      </c>
      <c r="AM75" s="40">
        <f>AJ75+AL75-AK75-U75</f>
        <v>-38174.0055153576031</v>
      </c>
      <c r="AN75" s="5">
        <f>AM75/AL75</f>
        <v>0.985666398963836876</v>
      </c>
      <c r="AO75" s="5">
        <f aca="1">(1+IF(AND(A75&gt;=Param.DepotRenditeSpezBeginn1,A75&lt;=Param.DepotRenditeSpezEnde1),Param.DepotRenditeSpezProz1,IF(AND(A75&gt;=Param.DepotRenditeSpezBeginn2,A75&lt;=Param.DepotRenditeSpezEnde2),Param.DepotRenditeSpezProz2,IF(AND(A75&gt;=Param.DepotRenditeSpezBeginn3,A75&lt;=Param.DepotRenditeSpezEnde3),Param.DepotRenditeSpezProz3,IF(AND(A75&gt;=Param.DepotRenditeSpezBeginn4,A75&lt;=Param.DepotRenditeSpezEnde4),Param.DepotRenditeSpezProz4,IF(AND(A75&gt;=Param.DepotRenditeSpezBeginn5,A75&lt;=Param.DepotRenditeSpezEnde5),Param.DepotRenditeSpezProz5,Param.DepotRenditeDefault))))))^(1/12)-1</f>
        <v>0.00486755056533993979</v>
      </c>
      <c r="AP75" s="40">
        <f>BJ74</f>
        <v>0</v>
      </c>
      <c r="AQ75" s="40">
        <f aca="1">IF(A75&lt;Param.FireStartjahr,Param.SparrateFestgeldMonatl*12*(1+Param.SparrateDynamikJaehrl)^($A75-Param.Startjahr),0)</f>
        <v>0</v>
      </c>
      <c r="AR75" s="40">
        <f>O75</f>
        <v>0</v>
      </c>
      <c r="AS75" s="40">
        <f aca="1">IF(AND(Param.SonstigEinmaligKonto1="Festgeld",$A75=Param.SonstigEinmaligJahr1),Param.SonstigEinmaligBetrag1,0)</f>
        <v>0</v>
      </c>
      <c r="AT75" s="40">
        <f aca="1">IF(AND(Param.SonstigEinmaligKonto2="Festgeld",$A75=Param.SonstigEinmaligJahr2),Param.SonstigEinmaligBetrag2,0)</f>
        <v>0</v>
      </c>
      <c r="AU75" s="40">
        <f aca="1">IF(AND(Param.SonstigEinmaligKonto3="Festgeld",$A75=Param.SonstigEinmaligJahr3),Param.SonstigEinmaligBetrag3,0)</f>
        <v>0</v>
      </c>
      <c r="AV75" s="40">
        <f aca="1">IF(AND(Param.SonstigEinmaligKonto4="Festgeld",$A75=Param.SonstigEinmaligJahr4),Param.SonstigEinmaligBetrag4,0)</f>
        <v>0</v>
      </c>
      <c r="AW75" s="40">
        <f aca="1">IF(AND(Param.SonstigEinmaligKonto5="Festgeld",$A75=Param.SonstigEinmaligJahr5),Param.SonstigEinmaligBetrag5,0)</f>
        <v>0</v>
      </c>
      <c r="AX75" s="40">
        <f aca="1">IF(AND(Param.SonstigEinmaligKonto6="Festgeld",$A75=Param.SonstigEinmaligJahr6),Param.SonstigEinmaligBetrag6,0)</f>
        <v>0</v>
      </c>
      <c r="AY75" s="40">
        <f aca="1">IF(AND(Param.SonstigEinmaligKonto7="Festgeld",$A75=Param.SonstigEinmaligJahr7),Param.SonstigEinmaligBetrag7,0)</f>
        <v>0</v>
      </c>
      <c r="AZ75" s="40">
        <f aca="1">IF(AND(Param.SonstigEinmaligKonto8="Festgeld",$A75=Param.SonstigEinmaligJahr8),Param.SonstigEinmaligBetrag8,0)</f>
        <v>0</v>
      </c>
      <c r="BA75" s="40">
        <f aca="1">IF(AND(Param.SonstigEinmaligKonto9="Festgeld",$A75=Param.SonstigEinmaligJahr9),Param.SonstigEinmaligBetrag9,0)</f>
        <v>0</v>
      </c>
      <c r="BB75" s="40">
        <f aca="1">IF(AND(Param.SonstigEinmaligKonto10="Festgeld",$A75=Param.SonstigEinmaligJahr10),Param.SonstigEinmaligBetrag10,0)</f>
        <v>0</v>
      </c>
      <c r="BC75" s="40">
        <f aca="1">IF(AND(A75&gt;=Param.FireStartjahr,AP75&gt;0),MIN(N75*R75,AP75),0)</f>
        <v>0</v>
      </c>
      <c r="BD75" s="5">
        <f aca="1">Param.FestgeldZinssatz</f>
        <v>0.02</v>
      </c>
      <c r="BE75" s="40">
        <f>(AP75+AQ75-BC75)*BD75</f>
        <v>0</v>
      </c>
      <c r="BF75" s="40">
        <f aca="1">IF(BE75&gt;Param.SparerPauschbetrag,Param.SparerPauschbetrag,BE75)</f>
        <v>0</v>
      </c>
      <c r="BG75" s="40">
        <f>BE75-BF75</f>
        <v>0</v>
      </c>
      <c r="BH75" s="40">
        <f aca="1">BG75*Param.KapSt</f>
        <v>0</v>
      </c>
      <c r="BI75" s="40">
        <f>BE75-BH75</f>
        <v>0</v>
      </c>
      <c r="BJ75" s="63">
        <f>AP75+SUM(AQ75:BB75)-BC75+BI75</f>
        <v>0</v>
      </c>
      <c r="BK75" s="40">
        <f>AL75+BJ75</f>
        <v>-38729.1334628909972</v>
      </c>
      <c r="BL75" s="40">
        <f aca="1">BK75/(1+Param.Inflationsrate)^(A75-Param.Startjahr)</f>
        <v>-6876.49612565721509</v>
      </c>
      <c r="BM75" s="52">
        <f>IF(BK75&lt;N75,A75,"")</f>
        <v>2096</v>
      </c>
      <c r="BN75" s="40">
        <f>AH75+BC75</f>
        <v>0</v>
      </c>
      <c r="BO75" s="40">
        <f>SUM(AR75:BB75)</f>
        <v>0</v>
      </c>
      <c r="BP75" s="40">
        <f>BN75+(-1*BO75)</f>
        <v>0</v>
      </c>
      <c r="BQ75" s="40">
        <f>AI75+BH75</f>
        <v>0</v>
      </c>
      <c r="BR75" s="5">
        <f>IF(BK75&gt;0,BP75/BK75,0)</f>
        <v>0</v>
      </c>
    </row>
    <row r="76" spans="1:70">
      <c r="A76">
        <f>A75+1</f>
        <v>2097</v>
      </c>
      <c r="B76">
        <f>B18+(59-1)</f>
        <v>101</v>
      </c>
      <c r="C76" s="10">
        <f aca="1">IF(A76&lt;Param.FireStartjahr,0,Param.EntnahmeBetragStart*(1+Param.Inflationsrate)^(A76-Param.Startjahr))</f>
        <v>173187.162796529388</v>
      </c>
      <c r="D76" s="40">
        <f aca="1">IF(OR($A76&lt;Param.SonstigRegelmJahrBeginn1,$A76&gt;Param.SonstigRegelmJahrEnd1),0,Param.SonstigRegelmBetragJaehrl1*(1+Param.SonstigRegelmSteig1)^(A76-Param.SonstigRegelmJahrBeginn1))</f>
        <v>25246.3857510522612</v>
      </c>
      <c r="E76" s="40">
        <f aca="1">IF(OR($A76&lt;Param.SonstigRegelmJahrBeginn2,$A76&gt;Param.SonstigRegelmJahrEnd2),0,Param.SonstigRegelmBetragJaehrl2*(1+Param.SonstigRegelmSteig2)^($A76-Param.SonstigRegelmJahrBeginn2))</f>
        <v>0</v>
      </c>
      <c r="F76" s="40">
        <f aca="1">IF(OR($A76&lt;Param.SonstigRegelmJahrBeginn3,$A76&gt;Param.SonstigRegelmJahrEnd3),0,Param.SonstigRegelmBetragJaehrl3*(1+Param.SonstigRegelmSteig3)^($A76-Param.SonstigRegelmJahrBeginn3))</f>
        <v>0</v>
      </c>
      <c r="G76" s="40">
        <f aca="1">IF(OR($A76&lt;Param.SonstigRegelmJahrBeginn4,$A76&gt;Param.SonstigRegelmJahrEnd4),0,Param.SonstigRegelmBetragJaehrl4*(1+Param.SonstigRegelmSteig4)^($A76-Param.SonstigRegelmJahrBeginn4))</f>
        <v>0</v>
      </c>
      <c r="H76" s="40">
        <f aca="1">IF(OR($A76&lt;Param.SonstigRegelmJahrBeginn5,$A76&gt;Param.SonstigRegelmJahrEnd5),0,Param.SonstigRegelmBetragJaehrl5*(1+Param.SonstigRegelmSteig5)^($A76-Param.SonstigRegelmJahrBeginn5))</f>
        <v>0</v>
      </c>
      <c r="I76" s="40">
        <f aca="1">IF(OR($A76&lt;Param.SonstigRegelmJahrBeginn6,$A76&gt;Param.SonstigRegelmJahrEnd6),0,Param.SonstigRegelmBetragJaehrl6*(1+Param.SonstigRegelmSteig6)^($A76-Param.SonstigRegelmJahrBeginn6))</f>
        <v>0</v>
      </c>
      <c r="J76" s="40">
        <f aca="1">IF(OR($A76&lt;Param.SonstigRegelmJahrBeginn7,$A76&gt;Param.SonstigRegelmJahrEnd7),0,Param.SonstigRegelmBetragJaehrl7*(1+Param.SonstigRegelmSteig7)^($A76-Param.SonstigRegelmJahrBeginn7))</f>
        <v>0</v>
      </c>
      <c r="K76" s="40">
        <f aca="1">IF(OR($A76&lt;Param.SonstigRegelmJahrBeginn8,$A76&gt;Param.SonstigRegelmJahrEnd8),0,Param.SonstigRegelmBetragJaehrl8*(1+Param.SonstigRegelmSteig8)^($A76-Param.SonstigRegelmJahrBeginn8))</f>
        <v>0</v>
      </c>
      <c r="L76" s="40">
        <f aca="1">IF(OR($A76&lt;Param.SonstigRegelmJahrBeginn9,$A76&gt;Param.SonstigRegelmJahrEnd9),0,Param.SonstigRegelmBetragJaehrl9*(1+Param.SonstigRegelmSteig9)^($A76-Param.SonstigRegelmJahrBeginn9))</f>
        <v>0</v>
      </c>
      <c r="M76" s="40">
        <f aca="1">IF(OR($A76&lt;Param.SonstigRegelmJahrBeginn10,$A76&gt;Param.SonstigRegelmJahrEnd10),0,Param.SonstigRegelmBetragJaehrl10*(1+Param.SonstigRegelmSteig10)^($A76-Param.SonstigRegelmJahrBeginn10))</f>
        <v>0</v>
      </c>
      <c r="N76" s="10">
        <f>MAX(0,C76-SUM(D76:M76))</f>
        <v>147940.777045476716</v>
      </c>
      <c r="O76" s="10">
        <f>IF(N76&lt;=0,SUM(D76:M76)-C76,0)</f>
        <v>0</v>
      </c>
      <c r="P76" s="10">
        <f>S76+AP76</f>
        <v>-38729.1334628909972</v>
      </c>
      <c r="Q76" s="11">
        <f>IF(P76&gt;0,S76/P76,0)</f>
        <v>0</v>
      </c>
      <c r="R76" s="11">
        <f>IF(P76&gt;0,AP76/P76,0)</f>
        <v>0</v>
      </c>
      <c r="S76" s="10">
        <f>AL75</f>
        <v>-38729.1334628910263</v>
      </c>
      <c r="T76" s="40">
        <f>AM75</f>
        <v>-38174.0055153576031</v>
      </c>
      <c r="U76" s="40">
        <f aca="1">IF(A76&lt;Param.FireStartjahr,Param.SparrateDepotMonatl*12*(1+Param.SparrateDynamikJaehrl)^($A76-Param.Startjahr),0)</f>
        <v>0</v>
      </c>
      <c r="V76" s="40">
        <f aca="1">IF(AND(Param.SonstigEinmaligKonto1="Depot",$A76=Param.SonstigEinmaligJahr1),Param.SonstigEinmaligBetrag1,0)</f>
        <v>0</v>
      </c>
      <c r="W76" s="40">
        <f aca="1">IF(AND(Param.SonstigEinmaligKonto2="Depot",$A76=Param.SonstigEinmaligJahr2),Param.SonstigEinmaligBetrag2,0)</f>
        <v>0</v>
      </c>
      <c r="X76" s="40">
        <f aca="1">IF(AND(Param.SonstigEinmaligKonto3="Depot",$A76=Param.SonstigEinmaligJahr3),Param.SonstigEinmaligBetrag3,0)</f>
        <v>0</v>
      </c>
      <c r="Y76" s="40">
        <f aca="1">IF(AND(Param.SonstigEinmaligKonto4="Depot",$A76=Param.SonstigEinmaligJahr4),Param.SonstigEinmaligBetrag4,0)</f>
        <v>0</v>
      </c>
      <c r="Z76" s="40">
        <f aca="1">IF(AND(Param.SonstigEinmaligKonto5="Depot",$A76=Param.SonstigEinmaligJahr5),Param.SonstigEinmaligBetrag5,0)</f>
        <v>0</v>
      </c>
      <c r="AA76" s="40">
        <f aca="1">IF(AND(Param.SonstigEinmaligKonto6="Depot",$A76=Param.SonstigEinmaligJahr6),Param.SonstigEinmaligBetrag6,0)</f>
        <v>0</v>
      </c>
      <c r="AB76" s="40">
        <f aca="1">IF(AND(Param.SonstigEinmaligKonto7="Depot",$A76=Param.SonstigEinmaligJahr7),Param.SonstigEinmaligBetrag7,0)</f>
        <v>0</v>
      </c>
      <c r="AC76" s="40">
        <f aca="1">IF(AND(Param.SonstigEinmaligKonto8="Depot",$A76=Param.SonstigEinmaligJahr8),Param.SonstigEinmaligBetrag8,0)</f>
        <v>0</v>
      </c>
      <c r="AD76" s="40">
        <f aca="1">IF(AND(Param.SonstigEinmaligKonto9="Depot",$A76=Param.SonstigEinmaligJahr9),Param.SonstigEinmaligBetrag9,0)</f>
        <v>0</v>
      </c>
      <c r="AE76" s="40">
        <f aca="1">IF(AND(Param.SonstigEinmaligKonto10="Depot",$A76=Param.SonstigEinmaligJahr10),Param.SonstigEinmaligBetrag10,0)</f>
        <v>0</v>
      </c>
      <c r="AF76" s="40">
        <f aca="1">Param.SparerPauschbetrag-BF76</f>
        <v>1000</v>
      </c>
      <c r="AG76" s="40">
        <f aca="1">IF(AND(A76&gt;=Param.FireStartjahr,S76&gt;0),MIN(N76*Q76,S76),0)</f>
        <v>0</v>
      </c>
      <c r="AH76" s="40">
        <f aca="1">IF(AG76&lt;=0,0,IF(S76&lt;=0,0,AG76/(1-MAX(0,((T76/S76)*(1-Param.Teilfreistellung)-MIN(AF76,AG76)/AG76)*Param.KapSt))))</f>
        <v>0</v>
      </c>
      <c r="AI76" s="40">
        <f>AH76-AG76</f>
        <v>0</v>
      </c>
      <c r="AJ76" s="40">
        <f>T76-AH76*(T76/S76)</f>
        <v>-38174.0055153576031</v>
      </c>
      <c r="AK76" s="40">
        <f>S76-AH76</f>
        <v>-38729.1334628909972</v>
      </c>
      <c r="AL76" s="40">
        <f>FV(AO76,12,-(U76/12),-AK76,0)</f>
        <v>-41052.8814706629346</v>
      </c>
      <c r="AM76" s="40">
        <f>AJ76+AL76-AK76-U76</f>
        <v>-40497.7535231294969</v>
      </c>
      <c r="AN76" s="5">
        <f>AM76/AL76</f>
        <v>0.986477734871543532</v>
      </c>
      <c r="AO76" s="5">
        <f aca="1">(1+IF(AND(A76&gt;=Param.DepotRenditeSpezBeginn1,A76&lt;=Param.DepotRenditeSpezEnde1),Param.DepotRenditeSpezProz1,IF(AND(A76&gt;=Param.DepotRenditeSpezBeginn2,A76&lt;=Param.DepotRenditeSpezEnde2),Param.DepotRenditeSpezProz2,IF(AND(A76&gt;=Param.DepotRenditeSpezBeginn3,A76&lt;=Param.DepotRenditeSpezEnde3),Param.DepotRenditeSpezProz3,IF(AND(A76&gt;=Param.DepotRenditeSpezBeginn4,A76&lt;=Param.DepotRenditeSpezEnde4),Param.DepotRenditeSpezProz4,IF(AND(A76&gt;=Param.DepotRenditeSpezBeginn5,A76&lt;=Param.DepotRenditeSpezEnde5),Param.DepotRenditeSpezProz5,Param.DepotRenditeDefault))))))^(1/12)-1</f>
        <v>0.00486755056533993979</v>
      </c>
      <c r="AP76" s="40">
        <f>BJ75</f>
        <v>0</v>
      </c>
      <c r="AQ76" s="40">
        <f aca="1">IF(A76&lt;Param.FireStartjahr,Param.SparrateFestgeldMonatl*12*(1+Param.SparrateDynamikJaehrl)^($A76-Param.Startjahr),0)</f>
        <v>0</v>
      </c>
      <c r="AR76" s="40">
        <f>O76</f>
        <v>0</v>
      </c>
      <c r="AS76" s="40">
        <f aca="1">IF(AND(Param.SonstigEinmaligKonto1="Festgeld",$A76=Param.SonstigEinmaligJahr1),Param.SonstigEinmaligBetrag1,0)</f>
        <v>0</v>
      </c>
      <c r="AT76" s="40">
        <f aca="1">IF(AND(Param.SonstigEinmaligKonto2="Festgeld",$A76=Param.SonstigEinmaligJahr2),Param.SonstigEinmaligBetrag2,0)</f>
        <v>0</v>
      </c>
      <c r="AU76" s="40">
        <f aca="1">IF(AND(Param.SonstigEinmaligKonto3="Festgeld",$A76=Param.SonstigEinmaligJahr3),Param.SonstigEinmaligBetrag3,0)</f>
        <v>0</v>
      </c>
      <c r="AV76" s="40">
        <f aca="1">IF(AND(Param.SonstigEinmaligKonto4="Festgeld",$A76=Param.SonstigEinmaligJahr4),Param.SonstigEinmaligBetrag4,0)</f>
        <v>0</v>
      </c>
      <c r="AW76" s="40">
        <f aca="1">IF(AND(Param.SonstigEinmaligKonto5="Festgeld",$A76=Param.SonstigEinmaligJahr5),Param.SonstigEinmaligBetrag5,0)</f>
        <v>0</v>
      </c>
      <c r="AX76" s="40">
        <f aca="1">IF(AND(Param.SonstigEinmaligKonto6="Festgeld",$A76=Param.SonstigEinmaligJahr6),Param.SonstigEinmaligBetrag6,0)</f>
        <v>0</v>
      </c>
      <c r="AY76" s="40">
        <f aca="1">IF(AND(Param.SonstigEinmaligKonto7="Festgeld",$A76=Param.SonstigEinmaligJahr7),Param.SonstigEinmaligBetrag7,0)</f>
        <v>0</v>
      </c>
      <c r="AZ76" s="40">
        <f aca="1">IF(AND(Param.SonstigEinmaligKonto8="Festgeld",$A76=Param.SonstigEinmaligJahr8),Param.SonstigEinmaligBetrag8,0)</f>
        <v>0</v>
      </c>
      <c r="BA76" s="40">
        <f aca="1">IF(AND(Param.SonstigEinmaligKonto9="Festgeld",$A76=Param.SonstigEinmaligJahr9),Param.SonstigEinmaligBetrag9,0)</f>
        <v>0</v>
      </c>
      <c r="BB76" s="40">
        <f aca="1">IF(AND(Param.SonstigEinmaligKonto10="Festgeld",$A76=Param.SonstigEinmaligJahr10),Param.SonstigEinmaligBetrag10,0)</f>
        <v>0</v>
      </c>
      <c r="BC76" s="40">
        <f aca="1">IF(AND(A76&gt;=Param.FireStartjahr,AP76&gt;0),MIN(N76*R76,AP76),0)</f>
        <v>0</v>
      </c>
      <c r="BD76" s="5">
        <f aca="1">Param.FestgeldZinssatz</f>
        <v>0.02</v>
      </c>
      <c r="BE76" s="40">
        <f>(AP76+AQ76-BC76)*BD76</f>
        <v>0</v>
      </c>
      <c r="BF76" s="40">
        <f aca="1">IF(BE76&gt;Param.SparerPauschbetrag,Param.SparerPauschbetrag,BE76)</f>
        <v>0</v>
      </c>
      <c r="BG76" s="40">
        <f>BE76-BF76</f>
        <v>0</v>
      </c>
      <c r="BH76" s="40">
        <f aca="1">BG76*Param.KapSt</f>
        <v>0</v>
      </c>
      <c r="BI76" s="40">
        <f>BE76-BH76</f>
        <v>0</v>
      </c>
      <c r="BJ76" s="63">
        <f>AP76+SUM(AQ76:BB76)-BC76+BI76</f>
        <v>0</v>
      </c>
      <c r="BK76" s="40">
        <f>AL76+BJ76</f>
        <v>-41052.8814706628982</v>
      </c>
      <c r="BL76" s="40">
        <f aca="1">BK76/(1+Param.Inflationsrate)^(A76-Param.Startjahr)</f>
        <v>-7111.30331043547449</v>
      </c>
      <c r="BM76" s="52">
        <f>IF(BK76&lt;N76,A76,"")</f>
        <v>2097</v>
      </c>
      <c r="BN76" s="40">
        <f>AH76+BC76</f>
        <v>0</v>
      </c>
      <c r="BO76" s="40">
        <f>SUM(AR76:BB76)</f>
        <v>0</v>
      </c>
      <c r="BP76" s="40">
        <f>BN76+(-1*BO76)</f>
        <v>0</v>
      </c>
      <c r="BQ76" s="40">
        <f>AI76+BH76</f>
        <v>0</v>
      </c>
      <c r="BR76" s="5">
        <f>IF(BK76&gt;0,BP76/BK76,0)</f>
        <v>0</v>
      </c>
    </row>
    <row r="77" spans="1:70">
      <c r="A77">
        <f>A76+1</f>
        <v>2098</v>
      </c>
      <c r="B77">
        <f>B19+(59-1)</f>
        <v>102</v>
      </c>
      <c r="C77" s="10">
        <f aca="1">IF(A77&lt;Param.FireStartjahr,0,Param.EntnahmeBetragStart*(1+Param.Inflationsrate)^(A77-Param.Startjahr))</f>
        <v>177516.841866442526</v>
      </c>
      <c r="D77" s="40">
        <f aca="1">IF(OR($A77&lt;Param.SonstigRegelmJahrBeginn1,$A77&gt;Param.SonstigRegelmJahrEnd1),0,Param.SonstigRegelmBetragJaehrl1*(1+Param.SonstigRegelmSteig1)^(A77-Param.SonstigRegelmJahrBeginn1))</f>
        <v>25498.8496085628576</v>
      </c>
      <c r="E77" s="40">
        <f aca="1">IF(OR($A77&lt;Param.SonstigRegelmJahrBeginn2,$A77&gt;Param.SonstigRegelmJahrEnd2),0,Param.SonstigRegelmBetragJaehrl2*(1+Param.SonstigRegelmSteig2)^($A77-Param.SonstigRegelmJahrBeginn2))</f>
        <v>0</v>
      </c>
      <c r="F77" s="40">
        <f aca="1">IF(OR($A77&lt;Param.SonstigRegelmJahrBeginn3,$A77&gt;Param.SonstigRegelmJahrEnd3),0,Param.SonstigRegelmBetragJaehrl3*(1+Param.SonstigRegelmSteig3)^($A77-Param.SonstigRegelmJahrBeginn3))</f>
        <v>0</v>
      </c>
      <c r="G77" s="40">
        <f aca="1">IF(OR($A77&lt;Param.SonstigRegelmJahrBeginn4,$A77&gt;Param.SonstigRegelmJahrEnd4),0,Param.SonstigRegelmBetragJaehrl4*(1+Param.SonstigRegelmSteig4)^($A77-Param.SonstigRegelmJahrBeginn4))</f>
        <v>0</v>
      </c>
      <c r="H77" s="40">
        <f aca="1">IF(OR($A77&lt;Param.SonstigRegelmJahrBeginn5,$A77&gt;Param.SonstigRegelmJahrEnd5),0,Param.SonstigRegelmBetragJaehrl5*(1+Param.SonstigRegelmSteig5)^($A77-Param.SonstigRegelmJahrBeginn5))</f>
        <v>0</v>
      </c>
      <c r="I77" s="40">
        <f aca="1">IF(OR($A77&lt;Param.SonstigRegelmJahrBeginn6,$A77&gt;Param.SonstigRegelmJahrEnd6),0,Param.SonstigRegelmBetragJaehrl6*(1+Param.SonstigRegelmSteig6)^($A77-Param.SonstigRegelmJahrBeginn6))</f>
        <v>0</v>
      </c>
      <c r="J77" s="40">
        <f aca="1">IF(OR($A77&lt;Param.SonstigRegelmJahrBeginn7,$A77&gt;Param.SonstigRegelmJahrEnd7),0,Param.SonstigRegelmBetragJaehrl7*(1+Param.SonstigRegelmSteig7)^($A77-Param.SonstigRegelmJahrBeginn7))</f>
        <v>0</v>
      </c>
      <c r="K77" s="40">
        <f aca="1">IF(OR($A77&lt;Param.SonstigRegelmJahrBeginn8,$A77&gt;Param.SonstigRegelmJahrEnd8),0,Param.SonstigRegelmBetragJaehrl8*(1+Param.SonstigRegelmSteig8)^($A77-Param.SonstigRegelmJahrBeginn8))</f>
        <v>0</v>
      </c>
      <c r="L77" s="40">
        <f aca="1">IF(OR($A77&lt;Param.SonstigRegelmJahrBeginn9,$A77&gt;Param.SonstigRegelmJahrEnd9),0,Param.SonstigRegelmBetragJaehrl9*(1+Param.SonstigRegelmSteig9)^($A77-Param.SonstigRegelmJahrBeginn9))</f>
        <v>0</v>
      </c>
      <c r="M77" s="40">
        <f aca="1">IF(OR($A77&lt;Param.SonstigRegelmJahrBeginn10,$A77&gt;Param.SonstigRegelmJahrEnd10),0,Param.SonstigRegelmBetragJaehrl10*(1+Param.SonstigRegelmSteig10)^($A77-Param.SonstigRegelmJahrBeginn10))</f>
        <v>0</v>
      </c>
      <c r="N77" s="10">
        <f>MAX(0,C77-SUM(D77:M77))</f>
        <v>152017.992257880105</v>
      </c>
      <c r="O77" s="10">
        <f>IF(N77&lt;=0,SUM(D77:M77)-C77,0)</f>
        <v>0</v>
      </c>
      <c r="P77" s="10">
        <f>S77+AP77</f>
        <v>-41052.8814706628982</v>
      </c>
      <c r="Q77" s="11">
        <f>IF(P77&gt;0,S77/P77,0)</f>
        <v>0</v>
      </c>
      <c r="R77" s="11">
        <f>IF(P77&gt;0,AP77/P77,0)</f>
        <v>0</v>
      </c>
      <c r="S77" s="10">
        <f>AL76</f>
        <v>-41052.8814706629346</v>
      </c>
      <c r="T77" s="40">
        <f>AM76</f>
        <v>-40497.7535231294969</v>
      </c>
      <c r="U77" s="40">
        <f aca="1">IF(A77&lt;Param.FireStartjahr,Param.SparrateDepotMonatl*12*(1+Param.SparrateDynamikJaehrl)^($A77-Param.Startjahr),0)</f>
        <v>0</v>
      </c>
      <c r="V77" s="40">
        <f aca="1">IF(AND(Param.SonstigEinmaligKonto1="Depot",$A77=Param.SonstigEinmaligJahr1),Param.SonstigEinmaligBetrag1,0)</f>
        <v>0</v>
      </c>
      <c r="W77" s="40">
        <f aca="1">IF(AND(Param.SonstigEinmaligKonto2="Depot",$A77=Param.SonstigEinmaligJahr2),Param.SonstigEinmaligBetrag2,0)</f>
        <v>0</v>
      </c>
      <c r="X77" s="40">
        <f aca="1">IF(AND(Param.SonstigEinmaligKonto3="Depot",$A77=Param.SonstigEinmaligJahr3),Param.SonstigEinmaligBetrag3,0)</f>
        <v>0</v>
      </c>
      <c r="Y77" s="40">
        <f aca="1">IF(AND(Param.SonstigEinmaligKonto4="Depot",$A77=Param.SonstigEinmaligJahr4),Param.SonstigEinmaligBetrag4,0)</f>
        <v>0</v>
      </c>
      <c r="Z77" s="40">
        <f aca="1">IF(AND(Param.SonstigEinmaligKonto5="Depot",$A77=Param.SonstigEinmaligJahr5),Param.SonstigEinmaligBetrag5,0)</f>
        <v>0</v>
      </c>
      <c r="AA77" s="40">
        <f aca="1">IF(AND(Param.SonstigEinmaligKonto6="Depot",$A77=Param.SonstigEinmaligJahr6),Param.SonstigEinmaligBetrag6,0)</f>
        <v>0</v>
      </c>
      <c r="AB77" s="40">
        <f aca="1">IF(AND(Param.SonstigEinmaligKonto7="Depot",$A77=Param.SonstigEinmaligJahr7),Param.SonstigEinmaligBetrag7,0)</f>
        <v>0</v>
      </c>
      <c r="AC77" s="40">
        <f aca="1">IF(AND(Param.SonstigEinmaligKonto8="Depot",$A77=Param.SonstigEinmaligJahr8),Param.SonstigEinmaligBetrag8,0)</f>
        <v>0</v>
      </c>
      <c r="AD77" s="40">
        <f aca="1">IF(AND(Param.SonstigEinmaligKonto9="Depot",$A77=Param.SonstigEinmaligJahr9),Param.SonstigEinmaligBetrag9,0)</f>
        <v>0</v>
      </c>
      <c r="AE77" s="40">
        <f aca="1">IF(AND(Param.SonstigEinmaligKonto10="Depot",$A77=Param.SonstigEinmaligJahr10),Param.SonstigEinmaligBetrag10,0)</f>
        <v>0</v>
      </c>
      <c r="AF77" s="40">
        <f aca="1">Param.SparerPauschbetrag-BF77</f>
        <v>1000</v>
      </c>
      <c r="AG77" s="40">
        <f aca="1">IF(AND(A77&gt;=Param.FireStartjahr,S77&gt;0),MIN(N77*Q77,S77),0)</f>
        <v>0</v>
      </c>
      <c r="AH77" s="40">
        <f aca="1">IF(AG77&lt;=0,0,IF(S77&lt;=0,0,AG77/(1-MAX(0,((T77/S77)*(1-Param.Teilfreistellung)-MIN(AF77,AG77)/AG77)*Param.KapSt))))</f>
        <v>0</v>
      </c>
      <c r="AI77" s="40">
        <f>AH77-AG77</f>
        <v>0</v>
      </c>
      <c r="AJ77" s="40">
        <f>T77-AH77*(T77/S77)</f>
        <v>-40497.7535231294969</v>
      </c>
      <c r="AK77" s="40">
        <f>S77-AH77</f>
        <v>-41052.8814706628982</v>
      </c>
      <c r="AL77" s="40">
        <f>FV(AO77,12,-(U77/12),-AK77,0)</f>
        <v>-43516.0543589010631</v>
      </c>
      <c r="AM77" s="40">
        <f>AJ77+AL77-AK77-U77</f>
        <v>-42960.9264113676982</v>
      </c>
      <c r="AN77" s="5">
        <f>AM77/AL77</f>
        <v>0.987243146105229386</v>
      </c>
      <c r="AO77" s="5">
        <f aca="1">(1+IF(AND(A77&gt;=Param.DepotRenditeSpezBeginn1,A77&lt;=Param.DepotRenditeSpezEnde1),Param.DepotRenditeSpezProz1,IF(AND(A77&gt;=Param.DepotRenditeSpezBeginn2,A77&lt;=Param.DepotRenditeSpezEnde2),Param.DepotRenditeSpezProz2,IF(AND(A77&gt;=Param.DepotRenditeSpezBeginn3,A77&lt;=Param.DepotRenditeSpezEnde3),Param.DepotRenditeSpezProz3,IF(AND(A77&gt;=Param.DepotRenditeSpezBeginn4,A77&lt;=Param.DepotRenditeSpezEnde4),Param.DepotRenditeSpezProz4,IF(AND(A77&gt;=Param.DepotRenditeSpezBeginn5,A77&lt;=Param.DepotRenditeSpezEnde5),Param.DepotRenditeSpezProz5,Param.DepotRenditeDefault))))))^(1/12)-1</f>
        <v>0.00486755056533993979</v>
      </c>
      <c r="AP77" s="40">
        <f>BJ76</f>
        <v>0</v>
      </c>
      <c r="AQ77" s="40">
        <f aca="1">IF(A77&lt;Param.FireStartjahr,Param.SparrateFestgeldMonatl*12*(1+Param.SparrateDynamikJaehrl)^($A77-Param.Startjahr),0)</f>
        <v>0</v>
      </c>
      <c r="AR77" s="40">
        <f>O77</f>
        <v>0</v>
      </c>
      <c r="AS77" s="40">
        <f aca="1">IF(AND(Param.SonstigEinmaligKonto1="Festgeld",$A77=Param.SonstigEinmaligJahr1),Param.SonstigEinmaligBetrag1,0)</f>
        <v>0</v>
      </c>
      <c r="AT77" s="40">
        <f aca="1">IF(AND(Param.SonstigEinmaligKonto2="Festgeld",$A77=Param.SonstigEinmaligJahr2),Param.SonstigEinmaligBetrag2,0)</f>
        <v>0</v>
      </c>
      <c r="AU77" s="40">
        <f aca="1">IF(AND(Param.SonstigEinmaligKonto3="Festgeld",$A77=Param.SonstigEinmaligJahr3),Param.SonstigEinmaligBetrag3,0)</f>
        <v>0</v>
      </c>
      <c r="AV77" s="40">
        <f aca="1">IF(AND(Param.SonstigEinmaligKonto4="Festgeld",$A77=Param.SonstigEinmaligJahr4),Param.SonstigEinmaligBetrag4,0)</f>
        <v>0</v>
      </c>
      <c r="AW77" s="40">
        <f aca="1">IF(AND(Param.SonstigEinmaligKonto5="Festgeld",$A77=Param.SonstigEinmaligJahr5),Param.SonstigEinmaligBetrag5,0)</f>
        <v>0</v>
      </c>
      <c r="AX77" s="40">
        <f aca="1">IF(AND(Param.SonstigEinmaligKonto6="Festgeld",$A77=Param.SonstigEinmaligJahr6),Param.SonstigEinmaligBetrag6,0)</f>
        <v>0</v>
      </c>
      <c r="AY77" s="40">
        <f aca="1">IF(AND(Param.SonstigEinmaligKonto7="Festgeld",$A77=Param.SonstigEinmaligJahr7),Param.SonstigEinmaligBetrag7,0)</f>
        <v>0</v>
      </c>
      <c r="AZ77" s="40">
        <f aca="1">IF(AND(Param.SonstigEinmaligKonto8="Festgeld",$A77=Param.SonstigEinmaligJahr8),Param.SonstigEinmaligBetrag8,0)</f>
        <v>0</v>
      </c>
      <c r="BA77" s="40">
        <f aca="1">IF(AND(Param.SonstigEinmaligKonto9="Festgeld",$A77=Param.SonstigEinmaligJahr9),Param.SonstigEinmaligBetrag9,0)</f>
        <v>0</v>
      </c>
      <c r="BB77" s="40">
        <f aca="1">IF(AND(Param.SonstigEinmaligKonto10="Festgeld",$A77=Param.SonstigEinmaligJahr10),Param.SonstigEinmaligBetrag10,0)</f>
        <v>0</v>
      </c>
      <c r="BC77" s="40">
        <f aca="1">IF(AND(A77&gt;=Param.FireStartjahr,AP77&gt;0),MIN(N77*R77,AP77),0)</f>
        <v>0</v>
      </c>
      <c r="BD77" s="5">
        <f aca="1">Param.FestgeldZinssatz</f>
        <v>0.02</v>
      </c>
      <c r="BE77" s="40">
        <f>(AP77+AQ77-BC77)*BD77</f>
        <v>0</v>
      </c>
      <c r="BF77" s="40">
        <f aca="1">IF(BE77&gt;Param.SparerPauschbetrag,Param.SparerPauschbetrag,BE77)</f>
        <v>0</v>
      </c>
      <c r="BG77" s="40">
        <f>BE77-BF77</f>
        <v>0</v>
      </c>
      <c r="BH77" s="40">
        <f aca="1">BG77*Param.KapSt</f>
        <v>0</v>
      </c>
      <c r="BI77" s="40">
        <f>BE77-BH77</f>
        <v>0</v>
      </c>
      <c r="BJ77" s="63">
        <f>AP77+SUM(AQ77:BB77)-BC77+BI77</f>
        <v>0</v>
      </c>
      <c r="BK77" s="40">
        <f>AL77+BJ77</f>
        <v>-43516.0543589010995</v>
      </c>
      <c r="BL77" s="40">
        <f aca="1">BK77/(1+Param.Inflationsrate)^(A77-Param.Startjahr)</f>
        <v>-7354.12830152325387</v>
      </c>
      <c r="BM77" s="52">
        <f>IF(BK77&lt;N77,A77,"")</f>
        <v>2098</v>
      </c>
      <c r="BN77" s="40">
        <f>AH77+BC77</f>
        <v>0</v>
      </c>
      <c r="BO77" s="40">
        <f>SUM(AR77:BB77)</f>
        <v>0</v>
      </c>
      <c r="BP77" s="40">
        <f>BN77+(-1*BO77)</f>
        <v>0</v>
      </c>
      <c r="BQ77" s="40">
        <f>AI77+BH77</f>
        <v>0</v>
      </c>
      <c r="BR77" s="5">
        <f>IF(BK77&gt;0,BP77/BK77,0)</f>
        <v>0</v>
      </c>
    </row>
    <row r="78" spans="1:70">
      <c r="A78">
        <f>A77+1</f>
        <v>2099</v>
      </c>
      <c r="B78">
        <f>B20+(59-1)</f>
        <v>103</v>
      </c>
      <c r="C78" s="10">
        <f aca="1">IF(A78&lt;Param.FireStartjahr,0,Param.EntnahmeBetragStart*(1+Param.Inflationsrate)^(A78-Param.Startjahr))</f>
        <v>181954.762913103623</v>
      </c>
      <c r="D78" s="40">
        <f aca="1">IF(OR($A78&lt;Param.SonstigRegelmJahrBeginn1,$A78&gt;Param.SonstigRegelmJahrEnd1),0,Param.SonstigRegelmBetragJaehrl1*(1+Param.SonstigRegelmSteig1)^(A78-Param.SonstigRegelmJahrBeginn1))</f>
        <v>25753.8381046484428</v>
      </c>
      <c r="E78" s="40">
        <f aca="1">IF(OR($A78&lt;Param.SonstigRegelmJahrBeginn2,$A78&gt;Param.SonstigRegelmJahrEnd2),0,Param.SonstigRegelmBetragJaehrl2*(1+Param.SonstigRegelmSteig2)^($A78-Param.SonstigRegelmJahrBeginn2))</f>
        <v>0</v>
      </c>
      <c r="F78" s="40">
        <f aca="1">IF(OR($A78&lt;Param.SonstigRegelmJahrBeginn3,$A78&gt;Param.SonstigRegelmJahrEnd3),0,Param.SonstigRegelmBetragJaehrl3*(1+Param.SonstigRegelmSteig3)^($A78-Param.SonstigRegelmJahrBeginn3))</f>
        <v>0</v>
      </c>
      <c r="G78" s="40">
        <f aca="1">IF(OR($A78&lt;Param.SonstigRegelmJahrBeginn4,$A78&gt;Param.SonstigRegelmJahrEnd4),0,Param.SonstigRegelmBetragJaehrl4*(1+Param.SonstigRegelmSteig4)^($A78-Param.SonstigRegelmJahrBeginn4))</f>
        <v>0</v>
      </c>
      <c r="H78" s="40">
        <f aca="1">IF(OR($A78&lt;Param.SonstigRegelmJahrBeginn5,$A78&gt;Param.SonstigRegelmJahrEnd5),0,Param.SonstigRegelmBetragJaehrl5*(1+Param.SonstigRegelmSteig5)^($A78-Param.SonstigRegelmJahrBeginn5))</f>
        <v>0</v>
      </c>
      <c r="I78" s="40">
        <f aca="1">IF(OR($A78&lt;Param.SonstigRegelmJahrBeginn6,$A78&gt;Param.SonstigRegelmJahrEnd6),0,Param.SonstigRegelmBetragJaehrl6*(1+Param.SonstigRegelmSteig6)^($A78-Param.SonstigRegelmJahrBeginn6))</f>
        <v>0</v>
      </c>
      <c r="J78" s="40">
        <f aca="1">IF(OR($A78&lt;Param.SonstigRegelmJahrBeginn7,$A78&gt;Param.SonstigRegelmJahrEnd7),0,Param.SonstigRegelmBetragJaehrl7*(1+Param.SonstigRegelmSteig7)^($A78-Param.SonstigRegelmJahrBeginn7))</f>
        <v>0</v>
      </c>
      <c r="K78" s="40">
        <f aca="1">IF(OR($A78&lt;Param.SonstigRegelmJahrBeginn8,$A78&gt;Param.SonstigRegelmJahrEnd8),0,Param.SonstigRegelmBetragJaehrl8*(1+Param.SonstigRegelmSteig8)^($A78-Param.SonstigRegelmJahrBeginn8))</f>
        <v>0</v>
      </c>
      <c r="L78" s="40">
        <f aca="1">IF(OR($A78&lt;Param.SonstigRegelmJahrBeginn9,$A78&gt;Param.SonstigRegelmJahrEnd9),0,Param.SonstigRegelmBetragJaehrl9*(1+Param.SonstigRegelmSteig9)^($A78-Param.SonstigRegelmJahrBeginn9))</f>
        <v>0</v>
      </c>
      <c r="M78" s="40">
        <f aca="1">IF(OR($A78&lt;Param.SonstigRegelmJahrBeginn10,$A78&gt;Param.SonstigRegelmJahrEnd10),0,Param.SonstigRegelmBetragJaehrl10*(1+Param.SonstigRegelmSteig10)^($A78-Param.SonstigRegelmJahrBeginn10))</f>
        <v>0</v>
      </c>
      <c r="N78" s="10">
        <f>MAX(0,C78-SUM(D78:M78))</f>
        <v>156200.924808455602</v>
      </c>
      <c r="O78" s="10">
        <f>IF(N78&lt;=0,SUM(D78:M78)-C78,0)</f>
        <v>0</v>
      </c>
      <c r="P78" s="10">
        <f>S78+AP78</f>
        <v>-43516.0543589010995</v>
      </c>
      <c r="Q78" s="11">
        <f>IF(P78&gt;0,S78/P78,0)</f>
        <v>0</v>
      </c>
      <c r="R78" s="11">
        <f>IF(P78&gt;0,AP78/P78,0)</f>
        <v>0</v>
      </c>
      <c r="S78" s="10">
        <f>AL77</f>
        <v>-43516.0543589010631</v>
      </c>
      <c r="T78" s="40">
        <f>AM77</f>
        <v>-42960.9264113676982</v>
      </c>
      <c r="U78" s="40">
        <f aca="1">IF(A78&lt;Param.FireStartjahr,Param.SparrateDepotMonatl*12*(1+Param.SparrateDynamikJaehrl)^($A78-Param.Startjahr),0)</f>
        <v>0</v>
      </c>
      <c r="V78" s="40">
        <f aca="1">IF(AND(Param.SonstigEinmaligKonto1="Depot",$A78=Param.SonstigEinmaligJahr1),Param.SonstigEinmaligBetrag1,0)</f>
        <v>0</v>
      </c>
      <c r="W78" s="40">
        <f aca="1">IF(AND(Param.SonstigEinmaligKonto2="Depot",$A78=Param.SonstigEinmaligJahr2),Param.SonstigEinmaligBetrag2,0)</f>
        <v>0</v>
      </c>
      <c r="X78" s="40">
        <f aca="1">IF(AND(Param.SonstigEinmaligKonto3="Depot",$A78=Param.SonstigEinmaligJahr3),Param.SonstigEinmaligBetrag3,0)</f>
        <v>0</v>
      </c>
      <c r="Y78" s="40">
        <f aca="1">IF(AND(Param.SonstigEinmaligKonto4="Depot",$A78=Param.SonstigEinmaligJahr4),Param.SonstigEinmaligBetrag4,0)</f>
        <v>0</v>
      </c>
      <c r="Z78" s="40">
        <f aca="1">IF(AND(Param.SonstigEinmaligKonto5="Depot",$A78=Param.SonstigEinmaligJahr5),Param.SonstigEinmaligBetrag5,0)</f>
        <v>0</v>
      </c>
      <c r="AA78" s="40">
        <f aca="1">IF(AND(Param.SonstigEinmaligKonto6="Depot",$A78=Param.SonstigEinmaligJahr6),Param.SonstigEinmaligBetrag6,0)</f>
        <v>0</v>
      </c>
      <c r="AB78" s="40">
        <f aca="1">IF(AND(Param.SonstigEinmaligKonto7="Depot",$A78=Param.SonstigEinmaligJahr7),Param.SonstigEinmaligBetrag7,0)</f>
        <v>0</v>
      </c>
      <c r="AC78" s="40">
        <f aca="1">IF(AND(Param.SonstigEinmaligKonto8="Depot",$A78=Param.SonstigEinmaligJahr8),Param.SonstigEinmaligBetrag8,0)</f>
        <v>0</v>
      </c>
      <c r="AD78" s="40">
        <f aca="1">IF(AND(Param.SonstigEinmaligKonto9="Depot",$A78=Param.SonstigEinmaligJahr9),Param.SonstigEinmaligBetrag9,0)</f>
        <v>0</v>
      </c>
      <c r="AE78" s="40">
        <f aca="1">IF(AND(Param.SonstigEinmaligKonto10="Depot",$A78=Param.SonstigEinmaligJahr10),Param.SonstigEinmaligBetrag10,0)</f>
        <v>0</v>
      </c>
      <c r="AF78" s="40">
        <f aca="1">Param.SparerPauschbetrag-BF78</f>
        <v>1000</v>
      </c>
      <c r="AG78" s="40">
        <f aca="1">IF(AND(A78&gt;=Param.FireStartjahr,S78&gt;0),MIN(N78*Q78,S78),0)</f>
        <v>0</v>
      </c>
      <c r="AH78" s="40">
        <f aca="1">IF(AG78&lt;=0,0,IF(S78&lt;=0,0,AG78/(1-MAX(0,((T78/S78)*(1-Param.Teilfreistellung)-MIN(AF78,AG78)/AG78)*Param.KapSt))))</f>
        <v>0</v>
      </c>
      <c r="AI78" s="40">
        <f>AH78-AG78</f>
        <v>0</v>
      </c>
      <c r="AJ78" s="40">
        <f>T78-AH78*(T78/S78)</f>
        <v>-42960.9264113676982</v>
      </c>
      <c r="AK78" s="40">
        <f>S78-AH78</f>
        <v>-43516.0543589010995</v>
      </c>
      <c r="AL78" s="40">
        <f>FV(AO78,12,-(U78/12),-AK78,0)</f>
        <v>-46127.0176204334566</v>
      </c>
      <c r="AM78" s="40">
        <f>AJ78+AL78-AK78-U78</f>
        <v>-45571.889672900099</v>
      </c>
      <c r="AN78" s="5">
        <f>AM78/AL78</f>
        <v>0.987965232174744123</v>
      </c>
      <c r="AO78" s="5">
        <f aca="1">(1+IF(AND(A78&gt;=Param.DepotRenditeSpezBeginn1,A78&lt;=Param.DepotRenditeSpezEnde1),Param.DepotRenditeSpezProz1,IF(AND(A78&gt;=Param.DepotRenditeSpezBeginn2,A78&lt;=Param.DepotRenditeSpezEnde2),Param.DepotRenditeSpezProz2,IF(AND(A78&gt;=Param.DepotRenditeSpezBeginn3,A78&lt;=Param.DepotRenditeSpezEnde3),Param.DepotRenditeSpezProz3,IF(AND(A78&gt;=Param.DepotRenditeSpezBeginn4,A78&lt;=Param.DepotRenditeSpezEnde4),Param.DepotRenditeSpezProz4,IF(AND(A78&gt;=Param.DepotRenditeSpezBeginn5,A78&lt;=Param.DepotRenditeSpezEnde5),Param.DepotRenditeSpezProz5,Param.DepotRenditeDefault))))))^(1/12)-1</f>
        <v>0.00486755056533993979</v>
      </c>
      <c r="AP78" s="40">
        <f>BJ77</f>
        <v>0</v>
      </c>
      <c r="AQ78" s="40">
        <f aca="1">IF(A78&lt;Param.FireStartjahr,Param.SparrateFestgeldMonatl*12*(1+Param.SparrateDynamikJaehrl)^($A78-Param.Startjahr),0)</f>
        <v>0</v>
      </c>
      <c r="AR78" s="40">
        <f>O78</f>
        <v>0</v>
      </c>
      <c r="AS78" s="40">
        <f aca="1">IF(AND(Param.SonstigEinmaligKonto1="Festgeld",$A78=Param.SonstigEinmaligJahr1),Param.SonstigEinmaligBetrag1,0)</f>
        <v>0</v>
      </c>
      <c r="AT78" s="40">
        <f aca="1">IF(AND(Param.SonstigEinmaligKonto2="Festgeld",$A78=Param.SonstigEinmaligJahr2),Param.SonstigEinmaligBetrag2,0)</f>
        <v>0</v>
      </c>
      <c r="AU78" s="40">
        <f aca="1">IF(AND(Param.SonstigEinmaligKonto3="Festgeld",$A78=Param.SonstigEinmaligJahr3),Param.SonstigEinmaligBetrag3,0)</f>
        <v>0</v>
      </c>
      <c r="AV78" s="40">
        <f aca="1">IF(AND(Param.SonstigEinmaligKonto4="Festgeld",$A78=Param.SonstigEinmaligJahr4),Param.SonstigEinmaligBetrag4,0)</f>
        <v>0</v>
      </c>
      <c r="AW78" s="40">
        <f aca="1">IF(AND(Param.SonstigEinmaligKonto5="Festgeld",$A78=Param.SonstigEinmaligJahr5),Param.SonstigEinmaligBetrag5,0)</f>
        <v>0</v>
      </c>
      <c r="AX78" s="40">
        <f aca="1">IF(AND(Param.SonstigEinmaligKonto6="Festgeld",$A78=Param.SonstigEinmaligJahr6),Param.SonstigEinmaligBetrag6,0)</f>
        <v>0</v>
      </c>
      <c r="AY78" s="40">
        <f aca="1">IF(AND(Param.SonstigEinmaligKonto7="Festgeld",$A78=Param.SonstigEinmaligJahr7),Param.SonstigEinmaligBetrag7,0)</f>
        <v>0</v>
      </c>
      <c r="AZ78" s="40">
        <f aca="1">IF(AND(Param.SonstigEinmaligKonto8="Festgeld",$A78=Param.SonstigEinmaligJahr8),Param.SonstigEinmaligBetrag8,0)</f>
        <v>0</v>
      </c>
      <c r="BA78" s="40">
        <f aca="1">IF(AND(Param.SonstigEinmaligKonto9="Festgeld",$A78=Param.SonstigEinmaligJahr9),Param.SonstigEinmaligBetrag9,0)</f>
        <v>0</v>
      </c>
      <c r="BB78" s="40">
        <f aca="1">IF(AND(Param.SonstigEinmaligKonto10="Festgeld",$A78=Param.SonstigEinmaligJahr10),Param.SonstigEinmaligBetrag10,0)</f>
        <v>0</v>
      </c>
      <c r="BC78" s="40">
        <f aca="1">IF(AND(A78&gt;=Param.FireStartjahr,AP78&gt;0),MIN(N78*R78,AP78),0)</f>
        <v>0</v>
      </c>
      <c r="BD78" s="5">
        <f aca="1">Param.FestgeldZinssatz</f>
        <v>0.02</v>
      </c>
      <c r="BE78" s="40">
        <f>(AP78+AQ78-BC78)*BD78</f>
        <v>0</v>
      </c>
      <c r="BF78" s="40">
        <f aca="1">IF(BE78&gt;Param.SparerPauschbetrag,Param.SparerPauschbetrag,BE78)</f>
        <v>0</v>
      </c>
      <c r="BG78" s="40">
        <f>BE78-BF78</f>
        <v>0</v>
      </c>
      <c r="BH78" s="40">
        <f aca="1">BG78*Param.KapSt</f>
        <v>0</v>
      </c>
      <c r="BI78" s="40">
        <f>BE78-BH78</f>
        <v>0</v>
      </c>
      <c r="BJ78" s="63">
        <f>AP78+SUM(AQ78:BB78)-BC78+BI78</f>
        <v>0</v>
      </c>
      <c r="BK78" s="40">
        <f>AL78+BJ78</f>
        <v>-46127.0176204335003</v>
      </c>
      <c r="BL78" s="40">
        <f aca="1">BK78/(1+Param.Inflationsrate)^(A78-Param.Startjahr)</f>
        <v>-7605.24487767255323</v>
      </c>
      <c r="BM78" s="52">
        <f>IF(BK78&lt;N78,A78,"")</f>
        <v>2099</v>
      </c>
      <c r="BN78" s="40">
        <f>AH78+BC78</f>
        <v>0</v>
      </c>
      <c r="BO78" s="40">
        <f>SUM(AR78:BB78)</f>
        <v>0</v>
      </c>
      <c r="BP78" s="40">
        <f>BN78+(-1*BO78)</f>
        <v>0</v>
      </c>
      <c r="BQ78" s="40">
        <f>AI78+BH78</f>
        <v>0</v>
      </c>
      <c r="BR78" s="5">
        <f>IF(BK78&gt;0,BP78/BK78,0)</f>
        <v>0</v>
      </c>
    </row>
    <row r="79" spans="1:70">
      <c r="A79">
        <f>A78+1</f>
        <v>2100</v>
      </c>
      <c r="B79">
        <f>B21+(59-1)</f>
        <v>104</v>
      </c>
      <c r="C79" s="10">
        <f aca="1">IF(A79&lt;Param.FireStartjahr,0,Param.EntnahmeBetragStart*(1+Param.Inflationsrate)^(A79-Param.Startjahr))</f>
        <v>186503.631985931104</v>
      </c>
      <c r="D79" s="40">
        <f aca="1">IF(OR($A79&lt;Param.SonstigRegelmJahrBeginn1,$A79&gt;Param.SonstigRegelmJahrEnd1),0,Param.SonstigRegelmBetragJaehrl1*(1+Param.SonstigRegelmSteig1)^(A79-Param.SonstigRegelmJahrBeginn1))</f>
        <v>26011.3764856950002</v>
      </c>
      <c r="E79" s="40">
        <f aca="1">IF(OR($A79&lt;Param.SonstigRegelmJahrBeginn2,$A79&gt;Param.SonstigRegelmJahrEnd2),0,Param.SonstigRegelmBetragJaehrl2*(1+Param.SonstigRegelmSteig2)^($A79-Param.SonstigRegelmJahrBeginn2))</f>
        <v>0</v>
      </c>
      <c r="F79" s="40">
        <f aca="1">IF(OR($A79&lt;Param.SonstigRegelmJahrBeginn3,$A79&gt;Param.SonstigRegelmJahrEnd3),0,Param.SonstigRegelmBetragJaehrl3*(1+Param.SonstigRegelmSteig3)^($A79-Param.SonstigRegelmJahrBeginn3))</f>
        <v>0</v>
      </c>
      <c r="G79" s="40">
        <f aca="1">IF(OR($A79&lt;Param.SonstigRegelmJahrBeginn4,$A79&gt;Param.SonstigRegelmJahrEnd4),0,Param.SonstigRegelmBetragJaehrl4*(1+Param.SonstigRegelmSteig4)^($A79-Param.SonstigRegelmJahrBeginn4))</f>
        <v>0</v>
      </c>
      <c r="H79" s="40">
        <f aca="1">IF(OR($A79&lt;Param.SonstigRegelmJahrBeginn5,$A79&gt;Param.SonstigRegelmJahrEnd5),0,Param.SonstigRegelmBetragJaehrl5*(1+Param.SonstigRegelmSteig5)^($A79-Param.SonstigRegelmJahrBeginn5))</f>
        <v>0</v>
      </c>
      <c r="I79" s="40">
        <f aca="1">IF(OR($A79&lt;Param.SonstigRegelmJahrBeginn6,$A79&gt;Param.SonstigRegelmJahrEnd6),0,Param.SonstigRegelmBetragJaehrl6*(1+Param.SonstigRegelmSteig6)^($A79-Param.SonstigRegelmJahrBeginn6))</f>
        <v>0</v>
      </c>
      <c r="J79" s="40">
        <f aca="1">IF(OR($A79&lt;Param.SonstigRegelmJahrBeginn7,$A79&gt;Param.SonstigRegelmJahrEnd7),0,Param.SonstigRegelmBetragJaehrl7*(1+Param.SonstigRegelmSteig7)^($A79-Param.SonstigRegelmJahrBeginn7))</f>
        <v>0</v>
      </c>
      <c r="K79" s="40">
        <f aca="1">IF(OR($A79&lt;Param.SonstigRegelmJahrBeginn8,$A79&gt;Param.SonstigRegelmJahrEnd8),0,Param.SonstigRegelmBetragJaehrl8*(1+Param.SonstigRegelmSteig8)^($A79-Param.SonstigRegelmJahrBeginn8))</f>
        <v>0</v>
      </c>
      <c r="L79" s="40">
        <f aca="1">IF(OR($A79&lt;Param.SonstigRegelmJahrBeginn9,$A79&gt;Param.SonstigRegelmJahrEnd9),0,Param.SonstigRegelmBetragJaehrl9*(1+Param.SonstigRegelmSteig9)^($A79-Param.SonstigRegelmJahrBeginn9))</f>
        <v>0</v>
      </c>
      <c r="M79" s="40">
        <f aca="1">IF(OR($A79&lt;Param.SonstigRegelmJahrBeginn10,$A79&gt;Param.SonstigRegelmJahrEnd10),0,Param.SonstigRegelmBetragJaehrl10*(1+Param.SonstigRegelmSteig10)^($A79-Param.SonstigRegelmJahrBeginn10))</f>
        <v>0</v>
      </c>
      <c r="N79" s="10">
        <f>MAX(0,C79-SUM(D79:M79))</f>
        <v>160492.255500236002</v>
      </c>
      <c r="O79" s="10">
        <f>IF(N79&lt;=0,SUM(D79:M79)-C79,0)</f>
        <v>0</v>
      </c>
      <c r="P79" s="10">
        <f>S79+AP79</f>
        <v>-46127.0176204335003</v>
      </c>
      <c r="Q79" s="11">
        <f>IF(P79&gt;0,S79/P79,0)</f>
        <v>0</v>
      </c>
      <c r="R79" s="11">
        <f>IF(P79&gt;0,AP79/P79,0)</f>
        <v>0</v>
      </c>
      <c r="S79" s="10">
        <f>AL78</f>
        <v>-46127.0176204334566</v>
      </c>
      <c r="T79" s="40">
        <f>AM78</f>
        <v>-45571.889672900099</v>
      </c>
      <c r="U79" s="40">
        <f aca="1">IF(A79&lt;Param.FireStartjahr,Param.SparrateDepotMonatl*12*(1+Param.SparrateDynamikJaehrl)^($A79-Param.Startjahr),0)</f>
        <v>0</v>
      </c>
      <c r="V79" s="40">
        <f aca="1">IF(AND(Param.SonstigEinmaligKonto1="Depot",$A79=Param.SonstigEinmaligJahr1),Param.SonstigEinmaligBetrag1,0)</f>
        <v>0</v>
      </c>
      <c r="W79" s="40">
        <f aca="1">IF(AND(Param.SonstigEinmaligKonto2="Depot",$A79=Param.SonstigEinmaligJahr2),Param.SonstigEinmaligBetrag2,0)</f>
        <v>0</v>
      </c>
      <c r="X79" s="40">
        <f aca="1">IF(AND(Param.SonstigEinmaligKonto3="Depot",$A79=Param.SonstigEinmaligJahr3),Param.SonstigEinmaligBetrag3,0)</f>
        <v>0</v>
      </c>
      <c r="Y79" s="40">
        <f aca="1">IF(AND(Param.SonstigEinmaligKonto4="Depot",$A79=Param.SonstigEinmaligJahr4),Param.SonstigEinmaligBetrag4,0)</f>
        <v>0</v>
      </c>
      <c r="Z79" s="40">
        <f aca="1">IF(AND(Param.SonstigEinmaligKonto5="Depot",$A79=Param.SonstigEinmaligJahr5),Param.SonstigEinmaligBetrag5,0)</f>
        <v>0</v>
      </c>
      <c r="AA79" s="40">
        <f aca="1">IF(AND(Param.SonstigEinmaligKonto6="Depot",$A79=Param.SonstigEinmaligJahr6),Param.SonstigEinmaligBetrag6,0)</f>
        <v>0</v>
      </c>
      <c r="AB79" s="40">
        <f aca="1">IF(AND(Param.SonstigEinmaligKonto7="Depot",$A79=Param.SonstigEinmaligJahr7),Param.SonstigEinmaligBetrag7,0)</f>
        <v>0</v>
      </c>
      <c r="AC79" s="40">
        <f aca="1">IF(AND(Param.SonstigEinmaligKonto8="Depot",$A79=Param.SonstigEinmaligJahr8),Param.SonstigEinmaligBetrag8,0)</f>
        <v>0</v>
      </c>
      <c r="AD79" s="40">
        <f aca="1">IF(AND(Param.SonstigEinmaligKonto9="Depot",$A79=Param.SonstigEinmaligJahr9),Param.SonstigEinmaligBetrag9,0)</f>
        <v>0</v>
      </c>
      <c r="AE79" s="40">
        <f aca="1">IF(AND(Param.SonstigEinmaligKonto10="Depot",$A79=Param.SonstigEinmaligJahr10),Param.SonstigEinmaligBetrag10,0)</f>
        <v>0</v>
      </c>
      <c r="AF79" s="40">
        <f aca="1">Param.SparerPauschbetrag-BF79</f>
        <v>1000</v>
      </c>
      <c r="AG79" s="40">
        <f aca="1">IF(AND(A79&gt;=Param.FireStartjahr,S79&gt;0),MIN(N79*Q79,S79),0)</f>
        <v>0</v>
      </c>
      <c r="AH79" s="40">
        <f aca="1">IF(AG79&lt;=0,0,IF(S79&lt;=0,0,AG79/(1-MAX(0,((T79/S79)*(1-Param.Teilfreistellung)-MIN(AF79,AG79)/AG79)*Param.KapSt))))</f>
        <v>0</v>
      </c>
      <c r="AI79" s="40">
        <f>AH79-AG79</f>
        <v>0</v>
      </c>
      <c r="AJ79" s="40">
        <f>T79-AH79*(T79/S79)</f>
        <v>-45571.889672900099</v>
      </c>
      <c r="AK79" s="40">
        <f>S79-AH79</f>
        <v>-46127.0176204335003</v>
      </c>
      <c r="AL79" s="40">
        <f>FV(AO79,12,-(U79/12),-AK79,0)</f>
        <v>-48894.6386776576983</v>
      </c>
      <c r="AM79" s="40">
        <f>AJ79+AL79-AK79-U79</f>
        <v>-48339.510730124297</v>
      </c>
      <c r="AN79" s="5">
        <f>AM79/AL79</f>
        <v>0.988646445447871436</v>
      </c>
      <c r="AO79" s="5">
        <f aca="1">(1+IF(AND(A79&gt;=Param.DepotRenditeSpezBeginn1,A79&lt;=Param.DepotRenditeSpezEnde1),Param.DepotRenditeSpezProz1,IF(AND(A79&gt;=Param.DepotRenditeSpezBeginn2,A79&lt;=Param.DepotRenditeSpezEnde2),Param.DepotRenditeSpezProz2,IF(AND(A79&gt;=Param.DepotRenditeSpezBeginn3,A79&lt;=Param.DepotRenditeSpezEnde3),Param.DepotRenditeSpezProz3,IF(AND(A79&gt;=Param.DepotRenditeSpezBeginn4,A79&lt;=Param.DepotRenditeSpezEnde4),Param.DepotRenditeSpezProz4,IF(AND(A79&gt;=Param.DepotRenditeSpezBeginn5,A79&lt;=Param.DepotRenditeSpezEnde5),Param.DepotRenditeSpezProz5,Param.DepotRenditeDefault))))))^(1/12)-1</f>
        <v>0.00486755056533993979</v>
      </c>
      <c r="AP79" s="40">
        <f>BJ78</f>
        <v>0</v>
      </c>
      <c r="AQ79" s="40">
        <f aca="1">IF(A79&lt;Param.FireStartjahr,Param.SparrateFestgeldMonatl*12*(1+Param.SparrateDynamikJaehrl)^($A79-Param.Startjahr),0)</f>
        <v>0</v>
      </c>
      <c r="AR79" s="40">
        <f>O79</f>
        <v>0</v>
      </c>
      <c r="AS79" s="40">
        <f aca="1">IF(AND(Param.SonstigEinmaligKonto1="Festgeld",$A79=Param.SonstigEinmaligJahr1),Param.SonstigEinmaligBetrag1,0)</f>
        <v>0</v>
      </c>
      <c r="AT79" s="40">
        <f aca="1">IF(AND(Param.SonstigEinmaligKonto2="Festgeld",$A79=Param.SonstigEinmaligJahr2),Param.SonstigEinmaligBetrag2,0)</f>
        <v>0</v>
      </c>
      <c r="AU79" s="40">
        <f aca="1">IF(AND(Param.SonstigEinmaligKonto3="Festgeld",$A79=Param.SonstigEinmaligJahr3),Param.SonstigEinmaligBetrag3,0)</f>
        <v>0</v>
      </c>
      <c r="AV79" s="40">
        <f aca="1">IF(AND(Param.SonstigEinmaligKonto4="Festgeld",$A79=Param.SonstigEinmaligJahr4),Param.SonstigEinmaligBetrag4,0)</f>
        <v>0</v>
      </c>
      <c r="AW79" s="40">
        <f aca="1">IF(AND(Param.SonstigEinmaligKonto5="Festgeld",$A79=Param.SonstigEinmaligJahr5),Param.SonstigEinmaligBetrag5,0)</f>
        <v>0</v>
      </c>
      <c r="AX79" s="40">
        <f aca="1">IF(AND(Param.SonstigEinmaligKonto6="Festgeld",$A79=Param.SonstigEinmaligJahr6),Param.SonstigEinmaligBetrag6,0)</f>
        <v>0</v>
      </c>
      <c r="AY79" s="40">
        <f aca="1">IF(AND(Param.SonstigEinmaligKonto7="Festgeld",$A79=Param.SonstigEinmaligJahr7),Param.SonstigEinmaligBetrag7,0)</f>
        <v>0</v>
      </c>
      <c r="AZ79" s="40">
        <f aca="1">IF(AND(Param.SonstigEinmaligKonto8="Festgeld",$A79=Param.SonstigEinmaligJahr8),Param.SonstigEinmaligBetrag8,0)</f>
        <v>0</v>
      </c>
      <c r="BA79" s="40">
        <f aca="1">IF(AND(Param.SonstigEinmaligKonto9="Festgeld",$A79=Param.SonstigEinmaligJahr9),Param.SonstigEinmaligBetrag9,0)</f>
        <v>0</v>
      </c>
      <c r="BB79" s="40">
        <f aca="1">IF(AND(Param.SonstigEinmaligKonto10="Festgeld",$A79=Param.SonstigEinmaligJahr10),Param.SonstigEinmaligBetrag10,0)</f>
        <v>0</v>
      </c>
      <c r="BC79" s="40">
        <f aca="1">IF(AND(A79&gt;=Param.FireStartjahr,AP79&gt;0),MIN(N79*R79,AP79),0)</f>
        <v>0</v>
      </c>
      <c r="BD79" s="5">
        <f aca="1">Param.FestgeldZinssatz</f>
        <v>0.02</v>
      </c>
      <c r="BE79" s="40">
        <f>(AP79+AQ79-BC79)*BD79</f>
        <v>0</v>
      </c>
      <c r="BF79" s="40">
        <f aca="1">IF(BE79&gt;Param.SparerPauschbetrag,Param.SparerPauschbetrag,BE79)</f>
        <v>0</v>
      </c>
      <c r="BG79" s="40">
        <f>BE79-BF79</f>
        <v>0</v>
      </c>
      <c r="BH79" s="40">
        <f aca="1">BG79*Param.KapSt</f>
        <v>0</v>
      </c>
      <c r="BI79" s="40">
        <f>BE79-BH79</f>
        <v>0</v>
      </c>
      <c r="BJ79" s="63">
        <f>AP79+SUM(AQ79:BB79)-BC79+BI79</f>
        <v>0</v>
      </c>
      <c r="BK79" s="40">
        <f>AL79+BJ79</f>
        <v>-48894.6386776576983</v>
      </c>
      <c r="BL79" s="40">
        <f aca="1">BK79/(1+Param.Inflationsrate)^(A79-Param.Startjahr)</f>
        <v>-7864.93616617815769</v>
      </c>
      <c r="BM79" s="52">
        <f>IF(BK79&lt;N79,A79,"")</f>
        <v>2100</v>
      </c>
      <c r="BN79" s="40">
        <f>AH79+BC79</f>
        <v>0</v>
      </c>
      <c r="BO79" s="40">
        <f>SUM(AR79:BB79)</f>
        <v>0</v>
      </c>
      <c r="BP79" s="40">
        <f>BN79+(-1*BO79)</f>
        <v>0</v>
      </c>
      <c r="BQ79" s="40">
        <f>AI79+BH79</f>
        <v>0</v>
      </c>
      <c r="BR79" s="5">
        <f>IF(BK79&gt;0,BP79/BK79,0)</f>
        <v>0</v>
      </c>
    </row>
    <row r="80" spans="1:70">
      <c r="A80">
        <f>A79+1</f>
        <v>2101</v>
      </c>
      <c r="B80">
        <f>B22+(59-1)</f>
        <v>105</v>
      </c>
      <c r="C80" s="10">
        <f aca="1">IF(A80&lt;Param.FireStartjahr,0,Param.EntnahmeBetragStart*(1+Param.Inflationsrate)^(A80-Param.Startjahr))</f>
        <v>191166.222785579419</v>
      </c>
      <c r="D80" s="40">
        <f aca="1">IF(OR($A80&lt;Param.SonstigRegelmJahrBeginn1,$A80&gt;Param.SonstigRegelmJahrEnd1),0,Param.SonstigRegelmBetragJaehrl1*(1+Param.SonstigRegelmSteig1)^(A80-Param.SonstigRegelmJahrBeginn1))</f>
        <v>26271.4902505518585</v>
      </c>
      <c r="E80" s="40">
        <f aca="1">IF(OR($A80&lt;Param.SonstigRegelmJahrBeginn2,$A80&gt;Param.SonstigRegelmJahrEnd2),0,Param.SonstigRegelmBetragJaehrl2*(1+Param.SonstigRegelmSteig2)^($A80-Param.SonstigRegelmJahrBeginn2))</f>
        <v>0</v>
      </c>
      <c r="F80" s="40">
        <f aca="1">IF(OR($A80&lt;Param.SonstigRegelmJahrBeginn3,$A80&gt;Param.SonstigRegelmJahrEnd3),0,Param.SonstigRegelmBetragJaehrl3*(1+Param.SonstigRegelmSteig3)^($A80-Param.SonstigRegelmJahrBeginn3))</f>
        <v>0</v>
      </c>
      <c r="G80" s="40">
        <f aca="1">IF(OR($A80&lt;Param.SonstigRegelmJahrBeginn4,$A80&gt;Param.SonstigRegelmJahrEnd4),0,Param.SonstigRegelmBetragJaehrl4*(1+Param.SonstigRegelmSteig4)^($A80-Param.SonstigRegelmJahrBeginn4))</f>
        <v>0</v>
      </c>
      <c r="H80" s="40">
        <f aca="1">IF(OR($A80&lt;Param.SonstigRegelmJahrBeginn5,$A80&gt;Param.SonstigRegelmJahrEnd5),0,Param.SonstigRegelmBetragJaehrl5*(1+Param.SonstigRegelmSteig5)^($A80-Param.SonstigRegelmJahrBeginn5))</f>
        <v>0</v>
      </c>
      <c r="I80" s="40">
        <f aca="1">IF(OR($A80&lt;Param.SonstigRegelmJahrBeginn6,$A80&gt;Param.SonstigRegelmJahrEnd6),0,Param.SonstigRegelmBetragJaehrl6*(1+Param.SonstigRegelmSteig6)^($A80-Param.SonstigRegelmJahrBeginn6))</f>
        <v>0</v>
      </c>
      <c r="J80" s="40">
        <f aca="1">IF(OR($A80&lt;Param.SonstigRegelmJahrBeginn7,$A80&gt;Param.SonstigRegelmJahrEnd7),0,Param.SonstigRegelmBetragJaehrl7*(1+Param.SonstigRegelmSteig7)^($A80-Param.SonstigRegelmJahrBeginn7))</f>
        <v>0</v>
      </c>
      <c r="K80" s="40">
        <f aca="1">IF(OR($A80&lt;Param.SonstigRegelmJahrBeginn8,$A80&gt;Param.SonstigRegelmJahrEnd8),0,Param.SonstigRegelmBetragJaehrl8*(1+Param.SonstigRegelmSteig8)^($A80-Param.SonstigRegelmJahrBeginn8))</f>
        <v>0</v>
      </c>
      <c r="L80" s="40">
        <f aca="1">IF(OR($A80&lt;Param.SonstigRegelmJahrBeginn9,$A80&gt;Param.SonstigRegelmJahrEnd9),0,Param.SonstigRegelmBetragJaehrl9*(1+Param.SonstigRegelmSteig9)^($A80-Param.SonstigRegelmJahrBeginn9))</f>
        <v>0</v>
      </c>
      <c r="M80" s="40">
        <f aca="1">IF(OR($A80&lt;Param.SonstigRegelmJahrBeginn10,$A80&gt;Param.SonstigRegelmJahrEnd10),0,Param.SonstigRegelmBetragJaehrl10*(1+Param.SonstigRegelmSteig10)^($A80-Param.SonstigRegelmJahrBeginn10))</f>
        <v>0</v>
      </c>
      <c r="N80" s="10">
        <f>MAX(0,C80-SUM(D80:M80))</f>
        <v>164894.732535027113</v>
      </c>
      <c r="O80" s="10">
        <f>IF(N80&lt;=0,SUM(D80:M80)-C80,0)</f>
        <v>0</v>
      </c>
      <c r="P80" s="10">
        <f>S80+AP80</f>
        <v>-48894.6386776576983</v>
      </c>
      <c r="Q80" s="11">
        <f>IF(P80&gt;0,S80/P80,0)</f>
        <v>0</v>
      </c>
      <c r="R80" s="11">
        <f>IF(P80&gt;0,AP80/P80,0)</f>
        <v>0</v>
      </c>
      <c r="S80" s="10">
        <f>AL79</f>
        <v>-48894.6386776576983</v>
      </c>
      <c r="T80" s="40">
        <f>AM79</f>
        <v>-48339.510730124297</v>
      </c>
      <c r="U80" s="40">
        <f aca="1">IF(A80&lt;Param.FireStartjahr,Param.SparrateDepotMonatl*12*(1+Param.SparrateDynamikJaehrl)^($A80-Param.Startjahr),0)</f>
        <v>0</v>
      </c>
      <c r="V80" s="40">
        <f aca="1">IF(AND(Param.SonstigEinmaligKonto1="Depot",$A80=Param.SonstigEinmaligJahr1),Param.SonstigEinmaligBetrag1,0)</f>
        <v>0</v>
      </c>
      <c r="W80" s="40">
        <f aca="1">IF(AND(Param.SonstigEinmaligKonto2="Depot",$A80=Param.SonstigEinmaligJahr2),Param.SonstigEinmaligBetrag2,0)</f>
        <v>0</v>
      </c>
      <c r="X80" s="40">
        <f aca="1">IF(AND(Param.SonstigEinmaligKonto3="Depot",$A80=Param.SonstigEinmaligJahr3),Param.SonstigEinmaligBetrag3,0)</f>
        <v>0</v>
      </c>
      <c r="Y80" s="40">
        <f aca="1">IF(AND(Param.SonstigEinmaligKonto4="Depot",$A80=Param.SonstigEinmaligJahr4),Param.SonstigEinmaligBetrag4,0)</f>
        <v>0</v>
      </c>
      <c r="Z80" s="40">
        <f aca="1">IF(AND(Param.SonstigEinmaligKonto5="Depot",$A80=Param.SonstigEinmaligJahr5),Param.SonstigEinmaligBetrag5,0)</f>
        <v>0</v>
      </c>
      <c r="AA80" s="40">
        <f aca="1">IF(AND(Param.SonstigEinmaligKonto6="Depot",$A80=Param.SonstigEinmaligJahr6),Param.SonstigEinmaligBetrag6,0)</f>
        <v>0</v>
      </c>
      <c r="AB80" s="40">
        <f aca="1">IF(AND(Param.SonstigEinmaligKonto7="Depot",$A80=Param.SonstigEinmaligJahr7),Param.SonstigEinmaligBetrag7,0)</f>
        <v>0</v>
      </c>
      <c r="AC80" s="40">
        <f aca="1">IF(AND(Param.SonstigEinmaligKonto8="Depot",$A80=Param.SonstigEinmaligJahr8),Param.SonstigEinmaligBetrag8,0)</f>
        <v>0</v>
      </c>
      <c r="AD80" s="40">
        <f aca="1">IF(AND(Param.SonstigEinmaligKonto9="Depot",$A80=Param.SonstigEinmaligJahr9),Param.SonstigEinmaligBetrag9,0)</f>
        <v>0</v>
      </c>
      <c r="AE80" s="40">
        <f aca="1">IF(AND(Param.SonstigEinmaligKonto10="Depot",$A80=Param.SonstigEinmaligJahr10),Param.SonstigEinmaligBetrag10,0)</f>
        <v>0</v>
      </c>
      <c r="AF80" s="40">
        <f aca="1">Param.SparerPauschbetrag-BF80</f>
        <v>1000</v>
      </c>
      <c r="AG80" s="40">
        <f aca="1">IF(AND(A80&gt;=Param.FireStartjahr,S80&gt;0),MIN(N80*Q80,S80),0)</f>
        <v>0</v>
      </c>
      <c r="AH80" s="40">
        <f aca="1">IF(AG80&lt;=0,0,IF(S80&lt;=0,0,AG80/(1-MAX(0,((T80/S80)*(1-Param.Teilfreistellung)-MIN(AF80,AG80)/AG80)*Param.KapSt))))</f>
        <v>0</v>
      </c>
      <c r="AI80" s="40">
        <f>AH80-AG80</f>
        <v>0</v>
      </c>
      <c r="AJ80" s="40">
        <f>T80-AH80*(T80/S80)</f>
        <v>-48339.510730124297</v>
      </c>
      <c r="AK80" s="40">
        <f>S80-AH80</f>
        <v>-48894.6386776576983</v>
      </c>
      <c r="AL80" s="40">
        <f>FV(AO80,12,-(U80/12),-AK80,0)</f>
        <v>-51828.3169983152402</v>
      </c>
      <c r="AM80" s="40">
        <f>AJ80+AL80-AK80-U80</f>
        <v>-51273.1890507822973</v>
      </c>
      <c r="AN80" s="5">
        <f>AM80/AL80</f>
        <v>0.989289099479133327</v>
      </c>
      <c r="AO80" s="5">
        <f aca="1">(1+IF(AND(A80&gt;=Param.DepotRenditeSpezBeginn1,A80&lt;=Param.DepotRenditeSpezEnde1),Param.DepotRenditeSpezProz1,IF(AND(A80&gt;=Param.DepotRenditeSpezBeginn2,A80&lt;=Param.DepotRenditeSpezEnde2),Param.DepotRenditeSpezProz2,IF(AND(A80&gt;=Param.DepotRenditeSpezBeginn3,A80&lt;=Param.DepotRenditeSpezEnde3),Param.DepotRenditeSpezProz3,IF(AND(A80&gt;=Param.DepotRenditeSpezBeginn4,A80&lt;=Param.DepotRenditeSpezEnde4),Param.DepotRenditeSpezProz4,IF(AND(A80&gt;=Param.DepotRenditeSpezBeginn5,A80&lt;=Param.DepotRenditeSpezEnde5),Param.DepotRenditeSpezProz5,Param.DepotRenditeDefault))))))^(1/12)-1</f>
        <v>0.00486755056533993979</v>
      </c>
      <c r="AP80" s="40">
        <f>BJ79</f>
        <v>0</v>
      </c>
      <c r="AQ80" s="40">
        <f aca="1">IF(A80&lt;Param.FireStartjahr,Param.SparrateFestgeldMonatl*12*(1+Param.SparrateDynamikJaehrl)^($A80-Param.Startjahr),0)</f>
        <v>0</v>
      </c>
      <c r="AR80" s="40">
        <f>O80</f>
        <v>0</v>
      </c>
      <c r="AS80" s="40">
        <f aca="1">IF(AND(Param.SonstigEinmaligKonto1="Festgeld",$A80=Param.SonstigEinmaligJahr1),Param.SonstigEinmaligBetrag1,0)</f>
        <v>0</v>
      </c>
      <c r="AT80" s="40">
        <f aca="1">IF(AND(Param.SonstigEinmaligKonto2="Festgeld",$A80=Param.SonstigEinmaligJahr2),Param.SonstigEinmaligBetrag2,0)</f>
        <v>0</v>
      </c>
      <c r="AU80" s="40">
        <f aca="1">IF(AND(Param.SonstigEinmaligKonto3="Festgeld",$A80=Param.SonstigEinmaligJahr3),Param.SonstigEinmaligBetrag3,0)</f>
        <v>0</v>
      </c>
      <c r="AV80" s="40">
        <f aca="1">IF(AND(Param.SonstigEinmaligKonto4="Festgeld",$A80=Param.SonstigEinmaligJahr4),Param.SonstigEinmaligBetrag4,0)</f>
        <v>0</v>
      </c>
      <c r="AW80" s="40">
        <f aca="1">IF(AND(Param.SonstigEinmaligKonto5="Festgeld",$A80=Param.SonstigEinmaligJahr5),Param.SonstigEinmaligBetrag5,0)</f>
        <v>0</v>
      </c>
      <c r="AX80" s="40">
        <f aca="1">IF(AND(Param.SonstigEinmaligKonto6="Festgeld",$A80=Param.SonstigEinmaligJahr6),Param.SonstigEinmaligBetrag6,0)</f>
        <v>0</v>
      </c>
      <c r="AY80" s="40">
        <f aca="1">IF(AND(Param.SonstigEinmaligKonto7="Festgeld",$A80=Param.SonstigEinmaligJahr7),Param.SonstigEinmaligBetrag7,0)</f>
        <v>0</v>
      </c>
      <c r="AZ80" s="40">
        <f aca="1">IF(AND(Param.SonstigEinmaligKonto8="Festgeld",$A80=Param.SonstigEinmaligJahr8),Param.SonstigEinmaligBetrag8,0)</f>
        <v>0</v>
      </c>
      <c r="BA80" s="40">
        <f aca="1">IF(AND(Param.SonstigEinmaligKonto9="Festgeld",$A80=Param.SonstigEinmaligJahr9),Param.SonstigEinmaligBetrag9,0)</f>
        <v>0</v>
      </c>
      <c r="BB80" s="40">
        <f aca="1">IF(AND(Param.SonstigEinmaligKonto10="Festgeld",$A80=Param.SonstigEinmaligJahr10),Param.SonstigEinmaligBetrag10,0)</f>
        <v>0</v>
      </c>
      <c r="BC80" s="40">
        <f aca="1">IF(AND(A80&gt;=Param.FireStartjahr,AP80&gt;0),MIN(N80*R80,AP80),0)</f>
        <v>0</v>
      </c>
      <c r="BD80" s="5">
        <f aca="1">Param.FestgeldZinssatz</f>
        <v>0.02</v>
      </c>
      <c r="BE80" s="40">
        <f>(AP80+AQ80-BC80)*BD80</f>
        <v>0</v>
      </c>
      <c r="BF80" s="40">
        <f aca="1">IF(BE80&gt;Param.SparerPauschbetrag,Param.SparerPauschbetrag,BE80)</f>
        <v>0</v>
      </c>
      <c r="BG80" s="40">
        <f>BE80-BF80</f>
        <v>0</v>
      </c>
      <c r="BH80" s="40">
        <f aca="1">BG80*Param.KapSt</f>
        <v>0</v>
      </c>
      <c r="BI80" s="40">
        <f>BE80-BH80</f>
        <v>0</v>
      </c>
      <c r="BJ80" s="63">
        <f>AP80+SUM(AQ80:BB80)-BC80+BI80</f>
        <v>0</v>
      </c>
      <c r="BK80" s="40">
        <f>AL80+BJ80</f>
        <v>-51828.3169983151965</v>
      </c>
      <c r="BL80" s="40">
        <f aca="1">BK80/(1+Param.Inflationsrate)^(A80-Param.Startjahr)</f>
        <v>-8133.49496209612698</v>
      </c>
      <c r="BM80" s="52">
        <f>IF(BK80&lt;N80,A80,"")</f>
        <v>2101</v>
      </c>
      <c r="BN80" s="40">
        <f>AH80+BC80</f>
        <v>0</v>
      </c>
      <c r="BO80" s="40">
        <f>SUM(AR80:BB80)</f>
        <v>0</v>
      </c>
      <c r="BP80" s="40">
        <f>BN80+(-1*BO80)</f>
        <v>0</v>
      </c>
      <c r="BQ80" s="40">
        <f>AI80+BH80</f>
        <v>0</v>
      </c>
      <c r="BR80" s="5">
        <f>IF(BK80&gt;0,BP80/BK80,0)</f>
        <v>0</v>
      </c>
    </row>
    <row r="81" spans="1:70">
      <c r="A81">
        <f>A80+1</f>
        <v>2102</v>
      </c>
      <c r="B81">
        <f>B23+(59-1)</f>
        <v>106</v>
      </c>
      <c r="C81" s="10">
        <f aca="1">IF(A81&lt;Param.FireStartjahr,0,Param.EntnahmeBetragStart*(1+Param.Inflationsrate)^(A81-Param.Startjahr))</f>
        <v>195945.378355218883</v>
      </c>
      <c r="D81" s="40">
        <f aca="1">IF(OR($A81&lt;Param.SonstigRegelmJahrBeginn1,$A81&gt;Param.SonstigRegelmJahrEnd1),0,Param.SonstigRegelmBetragJaehrl1*(1+Param.SonstigRegelmSteig1)^(A81-Param.SonstigRegelmJahrBeginn1))</f>
        <v>26534.2051530574172</v>
      </c>
      <c r="E81" s="40">
        <f aca="1">IF(OR($A81&lt;Param.SonstigRegelmJahrBeginn2,$A81&gt;Param.SonstigRegelmJahrEnd2),0,Param.SonstigRegelmBetragJaehrl2*(1+Param.SonstigRegelmSteig2)^($A81-Param.SonstigRegelmJahrBeginn2))</f>
        <v>0</v>
      </c>
      <c r="F81" s="40">
        <f aca="1">IF(OR($A81&lt;Param.SonstigRegelmJahrBeginn3,$A81&gt;Param.SonstigRegelmJahrEnd3),0,Param.SonstigRegelmBetragJaehrl3*(1+Param.SonstigRegelmSteig3)^($A81-Param.SonstigRegelmJahrBeginn3))</f>
        <v>0</v>
      </c>
      <c r="G81" s="40">
        <f aca="1">IF(OR($A81&lt;Param.SonstigRegelmJahrBeginn4,$A81&gt;Param.SonstigRegelmJahrEnd4),0,Param.SonstigRegelmBetragJaehrl4*(1+Param.SonstigRegelmSteig4)^($A81-Param.SonstigRegelmJahrBeginn4))</f>
        <v>0</v>
      </c>
      <c r="H81" s="40">
        <f aca="1">IF(OR($A81&lt;Param.SonstigRegelmJahrBeginn5,$A81&gt;Param.SonstigRegelmJahrEnd5),0,Param.SonstigRegelmBetragJaehrl5*(1+Param.SonstigRegelmSteig5)^($A81-Param.SonstigRegelmJahrBeginn5))</f>
        <v>0</v>
      </c>
      <c r="I81" s="40">
        <f aca="1">IF(OR($A81&lt;Param.SonstigRegelmJahrBeginn6,$A81&gt;Param.SonstigRegelmJahrEnd6),0,Param.SonstigRegelmBetragJaehrl6*(1+Param.SonstigRegelmSteig6)^($A81-Param.SonstigRegelmJahrBeginn6))</f>
        <v>0</v>
      </c>
      <c r="J81" s="40">
        <f aca="1">IF(OR($A81&lt;Param.SonstigRegelmJahrBeginn7,$A81&gt;Param.SonstigRegelmJahrEnd7),0,Param.SonstigRegelmBetragJaehrl7*(1+Param.SonstigRegelmSteig7)^($A81-Param.SonstigRegelmJahrBeginn7))</f>
        <v>0</v>
      </c>
      <c r="K81" s="40">
        <f aca="1">IF(OR($A81&lt;Param.SonstigRegelmJahrBeginn8,$A81&gt;Param.SonstigRegelmJahrEnd8),0,Param.SonstigRegelmBetragJaehrl8*(1+Param.SonstigRegelmSteig8)^($A81-Param.SonstigRegelmJahrBeginn8))</f>
        <v>0</v>
      </c>
      <c r="L81" s="40">
        <f aca="1">IF(OR($A81&lt;Param.SonstigRegelmJahrBeginn9,$A81&gt;Param.SonstigRegelmJahrEnd9),0,Param.SonstigRegelmBetragJaehrl9*(1+Param.SonstigRegelmSteig9)^($A81-Param.SonstigRegelmJahrBeginn9))</f>
        <v>0</v>
      </c>
      <c r="M81" s="40">
        <f aca="1">IF(OR($A81&lt;Param.SonstigRegelmJahrBeginn10,$A81&gt;Param.SonstigRegelmJahrEnd10),0,Param.SonstigRegelmBetragJaehrl10*(1+Param.SonstigRegelmSteig10)^($A81-Param.SonstigRegelmJahrBeginn10))</f>
        <v>0</v>
      </c>
      <c r="N81" s="10">
        <f>MAX(0,C81-SUM(D81:M81))</f>
        <v>169411.17320216159</v>
      </c>
      <c r="O81" s="10">
        <f>IF(N81&lt;=0,SUM(D81:M81)-C81,0)</f>
        <v>0</v>
      </c>
      <c r="P81" s="10">
        <f>S81+AP81</f>
        <v>-51828.3169983151965</v>
      </c>
      <c r="Q81" s="11">
        <f>IF(P81&gt;0,S81/P81,0)</f>
        <v>0</v>
      </c>
      <c r="R81" s="11">
        <f>IF(P81&gt;0,AP81/P81,0)</f>
        <v>0</v>
      </c>
      <c r="S81" s="10">
        <f>AL80</f>
        <v>-51828.3169983152402</v>
      </c>
      <c r="T81" s="40">
        <f>AM80</f>
        <v>-51273.1890507822973</v>
      </c>
      <c r="U81" s="40">
        <f aca="1">IF(A81&lt;Param.FireStartjahr,Param.SparrateDepotMonatl*12*(1+Param.SparrateDynamikJaehrl)^($A81-Param.Startjahr),0)</f>
        <v>0</v>
      </c>
      <c r="V81" s="40">
        <f aca="1">IF(AND(Param.SonstigEinmaligKonto1="Depot",$A81=Param.SonstigEinmaligJahr1),Param.SonstigEinmaligBetrag1,0)</f>
        <v>0</v>
      </c>
      <c r="W81" s="40">
        <f aca="1">IF(AND(Param.SonstigEinmaligKonto2="Depot",$A81=Param.SonstigEinmaligJahr2),Param.SonstigEinmaligBetrag2,0)</f>
        <v>0</v>
      </c>
      <c r="X81" s="40">
        <f aca="1">IF(AND(Param.SonstigEinmaligKonto3="Depot",$A81=Param.SonstigEinmaligJahr3),Param.SonstigEinmaligBetrag3,0)</f>
        <v>0</v>
      </c>
      <c r="Y81" s="40">
        <f aca="1">IF(AND(Param.SonstigEinmaligKonto4="Depot",$A81=Param.SonstigEinmaligJahr4),Param.SonstigEinmaligBetrag4,0)</f>
        <v>0</v>
      </c>
      <c r="Z81" s="40">
        <f aca="1">IF(AND(Param.SonstigEinmaligKonto5="Depot",$A81=Param.SonstigEinmaligJahr5),Param.SonstigEinmaligBetrag5,0)</f>
        <v>0</v>
      </c>
      <c r="AA81" s="40">
        <f aca="1">IF(AND(Param.SonstigEinmaligKonto6="Depot",$A81=Param.SonstigEinmaligJahr6),Param.SonstigEinmaligBetrag6,0)</f>
        <v>0</v>
      </c>
      <c r="AB81" s="40">
        <f aca="1">IF(AND(Param.SonstigEinmaligKonto7="Depot",$A81=Param.SonstigEinmaligJahr7),Param.SonstigEinmaligBetrag7,0)</f>
        <v>0</v>
      </c>
      <c r="AC81" s="40">
        <f aca="1">IF(AND(Param.SonstigEinmaligKonto8="Depot",$A81=Param.SonstigEinmaligJahr8),Param.SonstigEinmaligBetrag8,0)</f>
        <v>0</v>
      </c>
      <c r="AD81" s="40">
        <f aca="1">IF(AND(Param.SonstigEinmaligKonto9="Depot",$A81=Param.SonstigEinmaligJahr9),Param.SonstigEinmaligBetrag9,0)</f>
        <v>0</v>
      </c>
      <c r="AE81" s="40">
        <f aca="1">IF(AND(Param.SonstigEinmaligKonto10="Depot",$A81=Param.SonstigEinmaligJahr10),Param.SonstigEinmaligBetrag10,0)</f>
        <v>0</v>
      </c>
      <c r="AF81" s="40">
        <f aca="1">Param.SparerPauschbetrag-BF81</f>
        <v>1000</v>
      </c>
      <c r="AG81" s="40">
        <f aca="1">IF(AND(A81&gt;=Param.FireStartjahr,S81&gt;0),MIN(N81*Q81,S81),0)</f>
        <v>0</v>
      </c>
      <c r="AH81" s="40">
        <f aca="1">IF(AG81&lt;=0,0,IF(S81&lt;=0,0,AG81/(1-MAX(0,((T81/S81)*(1-Param.Teilfreistellung)-MIN(AF81,AG81)/AG81)*Param.KapSt))))</f>
        <v>0</v>
      </c>
      <c r="AI81" s="40">
        <f>AH81-AG81</f>
        <v>0</v>
      </c>
      <c r="AJ81" s="40">
        <f>T81-AH81*(T81/S81)</f>
        <v>-51273.1890507822973</v>
      </c>
      <c r="AK81" s="40">
        <f>S81-AH81</f>
        <v>-51828.3169983151965</v>
      </c>
      <c r="AL81" s="40">
        <f>FV(AO81,12,-(U81/12),-AK81,0)</f>
        <v>-54938.0160182120744</v>
      </c>
      <c r="AM81" s="40">
        <f>AJ81+AL81-AK81-U81</f>
        <v>-54382.8880706787968</v>
      </c>
      <c r="AN81" s="5">
        <f>AM81/AL81</f>
        <v>0.989895376867099053</v>
      </c>
      <c r="AO81" s="5">
        <f aca="1">(1+IF(AND(A81&gt;=Param.DepotRenditeSpezBeginn1,A81&lt;=Param.DepotRenditeSpezEnde1),Param.DepotRenditeSpezProz1,IF(AND(A81&gt;=Param.DepotRenditeSpezBeginn2,A81&lt;=Param.DepotRenditeSpezEnde2),Param.DepotRenditeSpezProz2,IF(AND(A81&gt;=Param.DepotRenditeSpezBeginn3,A81&lt;=Param.DepotRenditeSpezEnde3),Param.DepotRenditeSpezProz3,IF(AND(A81&gt;=Param.DepotRenditeSpezBeginn4,A81&lt;=Param.DepotRenditeSpezEnde4),Param.DepotRenditeSpezProz4,IF(AND(A81&gt;=Param.DepotRenditeSpezBeginn5,A81&lt;=Param.DepotRenditeSpezEnde5),Param.DepotRenditeSpezProz5,Param.DepotRenditeDefault))))))^(1/12)-1</f>
        <v>0.00486755056533993979</v>
      </c>
      <c r="AP81" s="40">
        <f>BJ80</f>
        <v>0</v>
      </c>
      <c r="AQ81" s="40">
        <f aca="1">IF(A81&lt;Param.FireStartjahr,Param.SparrateFestgeldMonatl*12*(1+Param.SparrateDynamikJaehrl)^($A81-Param.Startjahr),0)</f>
        <v>0</v>
      </c>
      <c r="AR81" s="40">
        <f>O81</f>
        <v>0</v>
      </c>
      <c r="AS81" s="40">
        <f aca="1">IF(AND(Param.SonstigEinmaligKonto1="Festgeld",$A81=Param.SonstigEinmaligJahr1),Param.SonstigEinmaligBetrag1,0)</f>
        <v>0</v>
      </c>
      <c r="AT81" s="40">
        <f aca="1">IF(AND(Param.SonstigEinmaligKonto2="Festgeld",$A81=Param.SonstigEinmaligJahr2),Param.SonstigEinmaligBetrag2,0)</f>
        <v>0</v>
      </c>
      <c r="AU81" s="40">
        <f aca="1">IF(AND(Param.SonstigEinmaligKonto3="Festgeld",$A81=Param.SonstigEinmaligJahr3),Param.SonstigEinmaligBetrag3,0)</f>
        <v>0</v>
      </c>
      <c r="AV81" s="40">
        <f aca="1">IF(AND(Param.SonstigEinmaligKonto4="Festgeld",$A81=Param.SonstigEinmaligJahr4),Param.SonstigEinmaligBetrag4,0)</f>
        <v>0</v>
      </c>
      <c r="AW81" s="40">
        <f aca="1">IF(AND(Param.SonstigEinmaligKonto5="Festgeld",$A81=Param.SonstigEinmaligJahr5),Param.SonstigEinmaligBetrag5,0)</f>
        <v>0</v>
      </c>
      <c r="AX81" s="40">
        <f aca="1">IF(AND(Param.SonstigEinmaligKonto6="Festgeld",$A81=Param.SonstigEinmaligJahr6),Param.SonstigEinmaligBetrag6,0)</f>
        <v>0</v>
      </c>
      <c r="AY81" s="40">
        <f aca="1">IF(AND(Param.SonstigEinmaligKonto7="Festgeld",$A81=Param.SonstigEinmaligJahr7),Param.SonstigEinmaligBetrag7,0)</f>
        <v>0</v>
      </c>
      <c r="AZ81" s="40">
        <f aca="1">IF(AND(Param.SonstigEinmaligKonto8="Festgeld",$A81=Param.SonstigEinmaligJahr8),Param.SonstigEinmaligBetrag8,0)</f>
        <v>0</v>
      </c>
      <c r="BA81" s="40">
        <f aca="1">IF(AND(Param.SonstigEinmaligKonto9="Festgeld",$A81=Param.SonstigEinmaligJahr9),Param.SonstigEinmaligBetrag9,0)</f>
        <v>0</v>
      </c>
      <c r="BB81" s="40">
        <f aca="1">IF(AND(Param.SonstigEinmaligKonto10="Festgeld",$A81=Param.SonstigEinmaligJahr10),Param.SonstigEinmaligBetrag10,0)</f>
        <v>0</v>
      </c>
      <c r="BC81" s="40">
        <f aca="1">IF(AND(A81&gt;=Param.FireStartjahr,AP81&gt;0),MIN(N81*R81,AP81),0)</f>
        <v>0</v>
      </c>
      <c r="BD81" s="5">
        <f aca="1">Param.FestgeldZinssatz</f>
        <v>0.02</v>
      </c>
      <c r="BE81" s="40">
        <f>(AP81+AQ81-BC81)*BD81</f>
        <v>0</v>
      </c>
      <c r="BF81" s="40">
        <f aca="1">IF(BE81&gt;Param.SparerPauschbetrag,Param.SparerPauschbetrag,BE81)</f>
        <v>0</v>
      </c>
      <c r="BG81" s="40">
        <f>BE81-BF81</f>
        <v>0</v>
      </c>
      <c r="BH81" s="40">
        <f aca="1">BG81*Param.KapSt</f>
        <v>0</v>
      </c>
      <c r="BI81" s="40">
        <f>BE81-BH81</f>
        <v>0</v>
      </c>
      <c r="BJ81" s="63">
        <f>AP81+SUM(AQ81:BB81)-BC81+BI81</f>
        <v>0</v>
      </c>
      <c r="BK81" s="40">
        <f>AL81+BJ81</f>
        <v>-54938.0160182121035</v>
      </c>
      <c r="BL81" s="40">
        <f aca="1">BK81/(1+Param.Inflationsrate)^(A81-Param.Startjahr)</f>
        <v>-8411.2240583625171</v>
      </c>
      <c r="BM81" s="52">
        <f>IF(BK81&lt;N81,A81,"")</f>
        <v>2102</v>
      </c>
      <c r="BN81" s="40">
        <f>AH81+BC81</f>
        <v>0</v>
      </c>
      <c r="BO81" s="40">
        <f>SUM(AR81:BB81)</f>
        <v>0</v>
      </c>
      <c r="BP81" s="40">
        <f>BN81+(-1*BO81)</f>
        <v>0</v>
      </c>
      <c r="BQ81" s="40">
        <f>AI81+BH81</f>
        <v>0</v>
      </c>
      <c r="BR81" s="5">
        <f>IF(BK81&gt;0,BP81/BK81,0)</f>
        <v>0</v>
      </c>
    </row>
    <row r="82" spans="1:70">
      <c r="A82">
        <f>A81+1</f>
        <v>2103</v>
      </c>
      <c r="B82">
        <f>B24+(59-1)</f>
        <v>107</v>
      </c>
      <c r="C82" s="10">
        <f aca="1">IF(A82&lt;Param.FireStartjahr,0,Param.EntnahmeBetragStart*(1+Param.Inflationsrate)^(A82-Param.Startjahr))</f>
        <v>200844.012814099202</v>
      </c>
      <c r="D82" s="40">
        <f aca="1">IF(OR($A82&lt;Param.SonstigRegelmJahrBeginn1,$A82&gt;Param.SonstigRegelmJahrEnd1),0,Param.SonstigRegelmBetragJaehrl1*(1+Param.SonstigRegelmSteig1)^(A82-Param.SonstigRegelmJahrBeginn1))</f>
        <v>26799.5472045879615</v>
      </c>
      <c r="E82" s="40">
        <f aca="1">IF(OR($A82&lt;Param.SonstigRegelmJahrBeginn2,$A82&gt;Param.SonstigRegelmJahrEnd2),0,Param.SonstigRegelmBetragJaehrl2*(1+Param.SonstigRegelmSteig2)^($A82-Param.SonstigRegelmJahrBeginn2))</f>
        <v>0</v>
      </c>
      <c r="F82" s="40">
        <f aca="1">IF(OR($A82&lt;Param.SonstigRegelmJahrBeginn3,$A82&gt;Param.SonstigRegelmJahrEnd3),0,Param.SonstigRegelmBetragJaehrl3*(1+Param.SonstigRegelmSteig3)^($A82-Param.SonstigRegelmJahrBeginn3))</f>
        <v>0</v>
      </c>
      <c r="G82" s="40">
        <f aca="1">IF(OR($A82&lt;Param.SonstigRegelmJahrBeginn4,$A82&gt;Param.SonstigRegelmJahrEnd4),0,Param.SonstigRegelmBetragJaehrl4*(1+Param.SonstigRegelmSteig4)^($A82-Param.SonstigRegelmJahrBeginn4))</f>
        <v>0</v>
      </c>
      <c r="H82" s="40">
        <f aca="1">IF(OR($A82&lt;Param.SonstigRegelmJahrBeginn5,$A82&gt;Param.SonstigRegelmJahrEnd5),0,Param.SonstigRegelmBetragJaehrl5*(1+Param.SonstigRegelmSteig5)^($A82-Param.SonstigRegelmJahrBeginn5))</f>
        <v>0</v>
      </c>
      <c r="I82" s="40">
        <f aca="1">IF(OR($A82&lt;Param.SonstigRegelmJahrBeginn6,$A82&gt;Param.SonstigRegelmJahrEnd6),0,Param.SonstigRegelmBetragJaehrl6*(1+Param.SonstigRegelmSteig6)^($A82-Param.SonstigRegelmJahrBeginn6))</f>
        <v>0</v>
      </c>
      <c r="J82" s="40">
        <f aca="1">IF(OR($A82&lt;Param.SonstigRegelmJahrBeginn7,$A82&gt;Param.SonstigRegelmJahrEnd7),0,Param.SonstigRegelmBetragJaehrl7*(1+Param.SonstigRegelmSteig7)^($A82-Param.SonstigRegelmJahrBeginn7))</f>
        <v>0</v>
      </c>
      <c r="K82" s="40">
        <f aca="1">IF(OR($A82&lt;Param.SonstigRegelmJahrBeginn8,$A82&gt;Param.SonstigRegelmJahrEnd8),0,Param.SonstigRegelmBetragJaehrl8*(1+Param.SonstigRegelmSteig8)^($A82-Param.SonstigRegelmJahrBeginn8))</f>
        <v>0</v>
      </c>
      <c r="L82" s="40">
        <f aca="1">IF(OR($A82&lt;Param.SonstigRegelmJahrBeginn9,$A82&gt;Param.SonstigRegelmJahrEnd9),0,Param.SonstigRegelmBetragJaehrl9*(1+Param.SonstigRegelmSteig9)^($A82-Param.SonstigRegelmJahrBeginn9))</f>
        <v>0</v>
      </c>
      <c r="M82" s="40">
        <f aca="1">IF(OR($A82&lt;Param.SonstigRegelmJahrBeginn10,$A82&gt;Param.SonstigRegelmJahrEnd10),0,Param.SonstigRegelmBetragJaehrl10*(1+Param.SonstigRegelmSteig10)^($A82-Param.SonstigRegelmJahrBeginn10))</f>
        <v>0</v>
      </c>
      <c r="N82" s="10">
        <f>MAX(0,C82-SUM(D82:M82))</f>
        <v>174044.465609511011</v>
      </c>
      <c r="O82" s="10">
        <f>IF(N82&lt;=0,SUM(D82:M82)-C82,0)</f>
        <v>0</v>
      </c>
      <c r="P82" s="10">
        <f>S82+AP82</f>
        <v>-54938.0160182121035</v>
      </c>
      <c r="Q82" s="11">
        <f>IF(P82&gt;0,S82/P82,0)</f>
        <v>0</v>
      </c>
      <c r="R82" s="11">
        <f>IF(P82&gt;0,AP82/P82,0)</f>
        <v>0</v>
      </c>
      <c r="S82" s="10">
        <f>AL81</f>
        <v>-54938.0160182120744</v>
      </c>
      <c r="T82" s="40">
        <f>AM81</f>
        <v>-54382.8880706787968</v>
      </c>
      <c r="U82" s="40">
        <f aca="1">IF(A82&lt;Param.FireStartjahr,Param.SparrateDepotMonatl*12*(1+Param.SparrateDynamikJaehrl)^($A82-Param.Startjahr),0)</f>
        <v>0</v>
      </c>
      <c r="V82" s="40">
        <f aca="1">IF(AND(Param.SonstigEinmaligKonto1="Depot",$A82=Param.SonstigEinmaligJahr1),Param.SonstigEinmaligBetrag1,0)</f>
        <v>0</v>
      </c>
      <c r="W82" s="40">
        <f aca="1">IF(AND(Param.SonstigEinmaligKonto2="Depot",$A82=Param.SonstigEinmaligJahr2),Param.SonstigEinmaligBetrag2,0)</f>
        <v>0</v>
      </c>
      <c r="X82" s="40">
        <f aca="1">IF(AND(Param.SonstigEinmaligKonto3="Depot",$A82=Param.SonstigEinmaligJahr3),Param.SonstigEinmaligBetrag3,0)</f>
        <v>0</v>
      </c>
      <c r="Y82" s="40">
        <f aca="1">IF(AND(Param.SonstigEinmaligKonto4="Depot",$A82=Param.SonstigEinmaligJahr4),Param.SonstigEinmaligBetrag4,0)</f>
        <v>0</v>
      </c>
      <c r="Z82" s="40">
        <f aca="1">IF(AND(Param.SonstigEinmaligKonto5="Depot",$A82=Param.SonstigEinmaligJahr5),Param.SonstigEinmaligBetrag5,0)</f>
        <v>0</v>
      </c>
      <c r="AA82" s="40">
        <f aca="1">IF(AND(Param.SonstigEinmaligKonto6="Depot",$A82=Param.SonstigEinmaligJahr6),Param.SonstigEinmaligBetrag6,0)</f>
        <v>0</v>
      </c>
      <c r="AB82" s="40">
        <f aca="1">IF(AND(Param.SonstigEinmaligKonto7="Depot",$A82=Param.SonstigEinmaligJahr7),Param.SonstigEinmaligBetrag7,0)</f>
        <v>0</v>
      </c>
      <c r="AC82" s="40">
        <f aca="1">IF(AND(Param.SonstigEinmaligKonto8="Depot",$A82=Param.SonstigEinmaligJahr8),Param.SonstigEinmaligBetrag8,0)</f>
        <v>0</v>
      </c>
      <c r="AD82" s="40">
        <f aca="1">IF(AND(Param.SonstigEinmaligKonto9="Depot",$A82=Param.SonstigEinmaligJahr9),Param.SonstigEinmaligBetrag9,0)</f>
        <v>0</v>
      </c>
      <c r="AE82" s="40">
        <f aca="1">IF(AND(Param.SonstigEinmaligKonto10="Depot",$A82=Param.SonstigEinmaligJahr10),Param.SonstigEinmaligBetrag10,0)</f>
        <v>0</v>
      </c>
      <c r="AF82" s="40">
        <f aca="1">Param.SparerPauschbetrag-BF82</f>
        <v>1000</v>
      </c>
      <c r="AG82" s="40">
        <f aca="1">IF(AND(A82&gt;=Param.FireStartjahr,S82&gt;0),MIN(N82*Q82,S82),0)</f>
        <v>0</v>
      </c>
      <c r="AH82" s="40">
        <f aca="1">IF(AG82&lt;=0,0,IF(S82&lt;=0,0,AG82/(1-MAX(0,((T82/S82)*(1-Param.Teilfreistellung)-MIN(AF82,AG82)/AG82)*Param.KapSt))))</f>
        <v>0</v>
      </c>
      <c r="AI82" s="40">
        <f>AH82-AG82</f>
        <v>0</v>
      </c>
      <c r="AJ82" s="40">
        <f>T82-AH82*(T82/S82)</f>
        <v>-54382.8880706787968</v>
      </c>
      <c r="AK82" s="40">
        <f>S82-AH82</f>
        <v>-54938.0160182121035</v>
      </c>
      <c r="AL82" s="40">
        <f>FV(AO82,12,-(U82/12),-AK82,0)</f>
        <v>-58234.2969793026714</v>
      </c>
      <c r="AM82" s="40">
        <f>AJ82+AL82-AK82-U82</f>
        <v>-57679.1690317699031</v>
      </c>
      <c r="AN82" s="5">
        <f>AM82/AL82</f>
        <v>0.990467336667082954</v>
      </c>
      <c r="AO82" s="5">
        <f aca="1">(1+IF(AND(A82&gt;=Param.DepotRenditeSpezBeginn1,A82&lt;=Param.DepotRenditeSpezEnde1),Param.DepotRenditeSpezProz1,IF(AND(A82&gt;=Param.DepotRenditeSpezBeginn2,A82&lt;=Param.DepotRenditeSpezEnde2),Param.DepotRenditeSpezProz2,IF(AND(A82&gt;=Param.DepotRenditeSpezBeginn3,A82&lt;=Param.DepotRenditeSpezEnde3),Param.DepotRenditeSpezProz3,IF(AND(A82&gt;=Param.DepotRenditeSpezBeginn4,A82&lt;=Param.DepotRenditeSpezEnde4),Param.DepotRenditeSpezProz4,IF(AND(A82&gt;=Param.DepotRenditeSpezBeginn5,A82&lt;=Param.DepotRenditeSpezEnde5),Param.DepotRenditeSpezProz5,Param.DepotRenditeDefault))))))^(1/12)-1</f>
        <v>0.00486755056533993979</v>
      </c>
      <c r="AP82" s="40">
        <f>BJ81</f>
        <v>0</v>
      </c>
      <c r="AQ82" s="40">
        <f aca="1">IF(A82&lt;Param.FireStartjahr,Param.SparrateFestgeldMonatl*12*(1+Param.SparrateDynamikJaehrl)^($A82-Param.Startjahr),0)</f>
        <v>0</v>
      </c>
      <c r="AR82" s="40">
        <f>O82</f>
        <v>0</v>
      </c>
      <c r="AS82" s="40">
        <f aca="1">IF(AND(Param.SonstigEinmaligKonto1="Festgeld",$A82=Param.SonstigEinmaligJahr1),Param.SonstigEinmaligBetrag1,0)</f>
        <v>0</v>
      </c>
      <c r="AT82" s="40">
        <f aca="1">IF(AND(Param.SonstigEinmaligKonto2="Festgeld",$A82=Param.SonstigEinmaligJahr2),Param.SonstigEinmaligBetrag2,0)</f>
        <v>0</v>
      </c>
      <c r="AU82" s="40">
        <f aca="1">IF(AND(Param.SonstigEinmaligKonto3="Festgeld",$A82=Param.SonstigEinmaligJahr3),Param.SonstigEinmaligBetrag3,0)</f>
        <v>0</v>
      </c>
      <c r="AV82" s="40">
        <f aca="1">IF(AND(Param.SonstigEinmaligKonto4="Festgeld",$A82=Param.SonstigEinmaligJahr4),Param.SonstigEinmaligBetrag4,0)</f>
        <v>0</v>
      </c>
      <c r="AW82" s="40">
        <f aca="1">IF(AND(Param.SonstigEinmaligKonto5="Festgeld",$A82=Param.SonstigEinmaligJahr5),Param.SonstigEinmaligBetrag5,0)</f>
        <v>0</v>
      </c>
      <c r="AX82" s="40">
        <f aca="1">IF(AND(Param.SonstigEinmaligKonto6="Festgeld",$A82=Param.SonstigEinmaligJahr6),Param.SonstigEinmaligBetrag6,0)</f>
        <v>0</v>
      </c>
      <c r="AY82" s="40">
        <f aca="1">IF(AND(Param.SonstigEinmaligKonto7="Festgeld",$A82=Param.SonstigEinmaligJahr7),Param.SonstigEinmaligBetrag7,0)</f>
        <v>0</v>
      </c>
      <c r="AZ82" s="40">
        <f aca="1">IF(AND(Param.SonstigEinmaligKonto8="Festgeld",$A82=Param.SonstigEinmaligJahr8),Param.SonstigEinmaligBetrag8,0)</f>
        <v>0</v>
      </c>
      <c r="BA82" s="40">
        <f aca="1">IF(AND(Param.SonstigEinmaligKonto9="Festgeld",$A82=Param.SonstigEinmaligJahr9),Param.SonstigEinmaligBetrag9,0)</f>
        <v>0</v>
      </c>
      <c r="BB82" s="40">
        <f aca="1">IF(AND(Param.SonstigEinmaligKonto10="Festgeld",$A82=Param.SonstigEinmaligJahr10),Param.SonstigEinmaligBetrag10,0)</f>
        <v>0</v>
      </c>
      <c r="BC82" s="40">
        <f aca="1">IF(AND(A82&gt;=Param.FireStartjahr,AP82&gt;0),MIN(N82*R82,AP82),0)</f>
        <v>0</v>
      </c>
      <c r="BD82" s="5">
        <f aca="1">Param.FestgeldZinssatz</f>
        <v>0.02</v>
      </c>
      <c r="BE82" s="40">
        <f>(AP82+AQ82-BC82)*BD82</f>
        <v>0</v>
      </c>
      <c r="BF82" s="40">
        <f aca="1">IF(BE82&gt;Param.SparerPauschbetrag,Param.SparerPauschbetrag,BE82)</f>
        <v>0</v>
      </c>
      <c r="BG82" s="40">
        <f>BE82-BF82</f>
        <v>0</v>
      </c>
      <c r="BH82" s="40">
        <f aca="1">BG82*Param.KapSt</f>
        <v>0</v>
      </c>
      <c r="BI82" s="40">
        <f>BE82-BH82</f>
        <v>0</v>
      </c>
      <c r="BJ82" s="63">
        <f>AP82+SUM(AQ82:BB82)-BC82+BI82</f>
        <v>0</v>
      </c>
      <c r="BK82" s="40">
        <f>AL82+BJ82</f>
        <v>-58234.2969793027005</v>
      </c>
      <c r="BL82" s="40">
        <f aca="1">BK82/(1+Param.Inflationsrate)^(A82-Param.Startjahr)</f>
        <v>-8698.43658718434017</v>
      </c>
      <c r="BM82" s="52">
        <f>IF(BK82&lt;N82,A82,"")</f>
        <v>2103</v>
      </c>
      <c r="BN82" s="40">
        <f>AH82+BC82</f>
        <v>0</v>
      </c>
      <c r="BO82" s="40">
        <f>SUM(AR82:BB82)</f>
        <v>0</v>
      </c>
      <c r="BP82" s="40">
        <f>BN82+(-1*BO82)</f>
        <v>0</v>
      </c>
      <c r="BQ82" s="40">
        <f>AI82+BH82</f>
        <v>0</v>
      </c>
      <c r="BR82" s="5">
        <f>IF(BK82&gt;0,BP82/BK82,0)</f>
        <v>0</v>
      </c>
    </row>
    <row r="83" spans="1:70">
      <c r="A83">
        <f>A82+1</f>
        <v>2104</v>
      </c>
      <c r="B83">
        <f>B25+(59-1)</f>
        <v>108</v>
      </c>
      <c r="C83" s="10">
        <f aca="1">IF(A83&lt;Param.FireStartjahr,0,Param.EntnahmeBetragStart*(1+Param.Inflationsrate)^(A83-Param.Startjahr))</f>
        <v>205865.113134451793</v>
      </c>
      <c r="D83" s="40">
        <f aca="1">IF(OR($A83&lt;Param.SonstigRegelmJahrBeginn1,$A83&gt;Param.SonstigRegelmJahrEnd1),0,Param.SonstigRegelmBetragJaehrl1*(1+Param.SonstigRegelmSteig1)^(A83-Param.SonstigRegelmJahrBeginn1))</f>
        <v>27067.5426766338023</v>
      </c>
      <c r="E83" s="40">
        <f aca="1">IF(OR($A83&lt;Param.SonstigRegelmJahrBeginn2,$A83&gt;Param.SonstigRegelmJahrEnd2),0,Param.SonstigRegelmBetragJaehrl2*(1+Param.SonstigRegelmSteig2)^($A83-Param.SonstigRegelmJahrBeginn2))</f>
        <v>0</v>
      </c>
      <c r="F83" s="40">
        <f aca="1">IF(OR($A83&lt;Param.SonstigRegelmJahrBeginn3,$A83&gt;Param.SonstigRegelmJahrEnd3),0,Param.SonstigRegelmBetragJaehrl3*(1+Param.SonstigRegelmSteig3)^($A83-Param.SonstigRegelmJahrBeginn3))</f>
        <v>0</v>
      </c>
      <c r="G83" s="40">
        <f aca="1">IF(OR($A83&lt;Param.SonstigRegelmJahrBeginn4,$A83&gt;Param.SonstigRegelmJahrEnd4),0,Param.SonstigRegelmBetragJaehrl4*(1+Param.SonstigRegelmSteig4)^($A83-Param.SonstigRegelmJahrBeginn4))</f>
        <v>0</v>
      </c>
      <c r="H83" s="40">
        <f aca="1">IF(OR($A83&lt;Param.SonstigRegelmJahrBeginn5,$A83&gt;Param.SonstigRegelmJahrEnd5),0,Param.SonstigRegelmBetragJaehrl5*(1+Param.SonstigRegelmSteig5)^($A83-Param.SonstigRegelmJahrBeginn5))</f>
        <v>0</v>
      </c>
      <c r="I83" s="40">
        <f aca="1">IF(OR($A83&lt;Param.SonstigRegelmJahrBeginn6,$A83&gt;Param.SonstigRegelmJahrEnd6),0,Param.SonstigRegelmBetragJaehrl6*(1+Param.SonstigRegelmSteig6)^($A83-Param.SonstigRegelmJahrBeginn6))</f>
        <v>0</v>
      </c>
      <c r="J83" s="40">
        <f aca="1">IF(OR($A83&lt;Param.SonstigRegelmJahrBeginn7,$A83&gt;Param.SonstigRegelmJahrEnd7),0,Param.SonstigRegelmBetragJaehrl7*(1+Param.SonstigRegelmSteig7)^($A83-Param.SonstigRegelmJahrBeginn7))</f>
        <v>0</v>
      </c>
      <c r="K83" s="40">
        <f aca="1">IF(OR($A83&lt;Param.SonstigRegelmJahrBeginn8,$A83&gt;Param.SonstigRegelmJahrEnd8),0,Param.SonstigRegelmBetragJaehrl8*(1+Param.SonstigRegelmSteig8)^($A83-Param.SonstigRegelmJahrBeginn8))</f>
        <v>0</v>
      </c>
      <c r="L83" s="40">
        <f aca="1">IF(OR($A83&lt;Param.SonstigRegelmJahrBeginn9,$A83&gt;Param.SonstigRegelmJahrEnd9),0,Param.SonstigRegelmBetragJaehrl9*(1+Param.SonstigRegelmSteig9)^($A83-Param.SonstigRegelmJahrBeginn9))</f>
        <v>0</v>
      </c>
      <c r="M83" s="40">
        <f aca="1">IF(OR($A83&lt;Param.SonstigRegelmJahrBeginn10,$A83&gt;Param.SonstigRegelmJahrEnd10),0,Param.SonstigRegelmBetragJaehrl10*(1+Param.SonstigRegelmSteig10)^($A83-Param.SonstigRegelmJahrBeginn10))</f>
        <v>0</v>
      </c>
      <c r="N83" s="10">
        <f>MAX(0,C83-SUM(D83:M83))</f>
        <v>178797.57045781819</v>
      </c>
      <c r="O83" s="10">
        <f>IF(N83&lt;=0,SUM(D83:M83)-C83,0)</f>
        <v>0</v>
      </c>
      <c r="P83" s="10">
        <f>S83+AP83</f>
        <v>-58234.2969793027005</v>
      </c>
      <c r="Q83" s="11">
        <f>IF(P83&gt;0,S83/P83,0)</f>
        <v>0</v>
      </c>
      <c r="R83" s="11">
        <f>IF(P83&gt;0,AP83/P83,0)</f>
        <v>0</v>
      </c>
      <c r="S83" s="10">
        <f>AL82</f>
        <v>-58234.2969793026714</v>
      </c>
      <c r="T83" s="40">
        <f>AM82</f>
        <v>-57679.1690317699031</v>
      </c>
      <c r="U83" s="40">
        <f aca="1">IF(A83&lt;Param.FireStartjahr,Param.SparrateDepotMonatl*12*(1+Param.SparrateDynamikJaehrl)^($A83-Param.Startjahr),0)</f>
        <v>0</v>
      </c>
      <c r="V83" s="40">
        <f aca="1">IF(AND(Param.SonstigEinmaligKonto1="Depot",$A83=Param.SonstigEinmaligJahr1),Param.SonstigEinmaligBetrag1,0)</f>
        <v>0</v>
      </c>
      <c r="W83" s="40">
        <f aca="1">IF(AND(Param.SonstigEinmaligKonto2="Depot",$A83=Param.SonstigEinmaligJahr2),Param.SonstigEinmaligBetrag2,0)</f>
        <v>0</v>
      </c>
      <c r="X83" s="40">
        <f aca="1">IF(AND(Param.SonstigEinmaligKonto3="Depot",$A83=Param.SonstigEinmaligJahr3),Param.SonstigEinmaligBetrag3,0)</f>
        <v>0</v>
      </c>
      <c r="Y83" s="40">
        <f aca="1">IF(AND(Param.SonstigEinmaligKonto4="Depot",$A83=Param.SonstigEinmaligJahr4),Param.SonstigEinmaligBetrag4,0)</f>
        <v>0</v>
      </c>
      <c r="Z83" s="40">
        <f aca="1">IF(AND(Param.SonstigEinmaligKonto5="Depot",$A83=Param.SonstigEinmaligJahr5),Param.SonstigEinmaligBetrag5,0)</f>
        <v>0</v>
      </c>
      <c r="AA83" s="40">
        <f aca="1">IF(AND(Param.SonstigEinmaligKonto6="Depot",$A83=Param.SonstigEinmaligJahr6),Param.SonstigEinmaligBetrag6,0)</f>
        <v>0</v>
      </c>
      <c r="AB83" s="40">
        <f aca="1">IF(AND(Param.SonstigEinmaligKonto7="Depot",$A83=Param.SonstigEinmaligJahr7),Param.SonstigEinmaligBetrag7,0)</f>
        <v>0</v>
      </c>
      <c r="AC83" s="40">
        <f aca="1">IF(AND(Param.SonstigEinmaligKonto8="Depot",$A83=Param.SonstigEinmaligJahr8),Param.SonstigEinmaligBetrag8,0)</f>
        <v>0</v>
      </c>
      <c r="AD83" s="40">
        <f aca="1">IF(AND(Param.SonstigEinmaligKonto9="Depot",$A83=Param.SonstigEinmaligJahr9),Param.SonstigEinmaligBetrag9,0)</f>
        <v>0</v>
      </c>
      <c r="AE83" s="40">
        <f aca="1">IF(AND(Param.SonstigEinmaligKonto10="Depot",$A83=Param.SonstigEinmaligJahr10),Param.SonstigEinmaligBetrag10,0)</f>
        <v>0</v>
      </c>
      <c r="AF83" s="40">
        <f aca="1">Param.SparerPauschbetrag-BF83</f>
        <v>1000</v>
      </c>
      <c r="AG83" s="40">
        <f aca="1">IF(AND(A83&gt;=Param.FireStartjahr,S83&gt;0),MIN(N83*Q83,S83),0)</f>
        <v>0</v>
      </c>
      <c r="AH83" s="40">
        <f aca="1">IF(AG83&lt;=0,0,IF(S83&lt;=0,0,AG83/(1-MAX(0,((T83/S83)*(1-Param.Teilfreistellung)-MIN(AF83,AG83)/AG83)*Param.KapSt))))</f>
        <v>0</v>
      </c>
      <c r="AI83" s="40">
        <f>AH83-AG83</f>
        <v>0</v>
      </c>
      <c r="AJ83" s="40">
        <f>T83-AH83*(T83/S83)</f>
        <v>-57679.1690317699031</v>
      </c>
      <c r="AK83" s="40">
        <f>S83-AH83</f>
        <v>-58234.2969793027005</v>
      </c>
      <c r="AL83" s="40">
        <f>FV(AO83,12,-(U83/12),-AK83,0)</f>
        <v>-61728.354798058579</v>
      </c>
      <c r="AM83" s="40">
        <f>AJ83+AL83-AK83-U83</f>
        <v>-61173.2268505262982</v>
      </c>
      <c r="AN83" s="5">
        <f>AM83/AL83</f>
        <v>0.991006921384048312</v>
      </c>
      <c r="AO83" s="5">
        <f aca="1">(1+IF(AND(A83&gt;=Param.DepotRenditeSpezBeginn1,A83&lt;=Param.DepotRenditeSpezEnde1),Param.DepotRenditeSpezProz1,IF(AND(A83&gt;=Param.DepotRenditeSpezBeginn2,A83&lt;=Param.DepotRenditeSpezEnde2),Param.DepotRenditeSpezProz2,IF(AND(A83&gt;=Param.DepotRenditeSpezBeginn3,A83&lt;=Param.DepotRenditeSpezEnde3),Param.DepotRenditeSpezProz3,IF(AND(A83&gt;=Param.DepotRenditeSpezBeginn4,A83&lt;=Param.DepotRenditeSpezEnde4),Param.DepotRenditeSpezProz4,IF(AND(A83&gt;=Param.DepotRenditeSpezBeginn5,A83&lt;=Param.DepotRenditeSpezEnde5),Param.DepotRenditeSpezProz5,Param.DepotRenditeDefault))))))^(1/12)-1</f>
        <v>0.00486755056533993979</v>
      </c>
      <c r="AP83" s="40">
        <f>BJ82</f>
        <v>0</v>
      </c>
      <c r="AQ83" s="40">
        <f aca="1">IF(A83&lt;Param.FireStartjahr,Param.SparrateFestgeldMonatl*12*(1+Param.SparrateDynamikJaehrl)^($A83-Param.Startjahr),0)</f>
        <v>0</v>
      </c>
      <c r="AR83" s="40">
        <f>O83</f>
        <v>0</v>
      </c>
      <c r="AS83" s="40">
        <f aca="1">IF(AND(Param.SonstigEinmaligKonto1="Festgeld",$A83=Param.SonstigEinmaligJahr1),Param.SonstigEinmaligBetrag1,0)</f>
        <v>0</v>
      </c>
      <c r="AT83" s="40">
        <f aca="1">IF(AND(Param.SonstigEinmaligKonto2="Festgeld",$A83=Param.SonstigEinmaligJahr2),Param.SonstigEinmaligBetrag2,0)</f>
        <v>0</v>
      </c>
      <c r="AU83" s="40">
        <f aca="1">IF(AND(Param.SonstigEinmaligKonto3="Festgeld",$A83=Param.SonstigEinmaligJahr3),Param.SonstigEinmaligBetrag3,0)</f>
        <v>0</v>
      </c>
      <c r="AV83" s="40">
        <f aca="1">IF(AND(Param.SonstigEinmaligKonto4="Festgeld",$A83=Param.SonstigEinmaligJahr4),Param.SonstigEinmaligBetrag4,0)</f>
        <v>0</v>
      </c>
      <c r="AW83" s="40">
        <f aca="1">IF(AND(Param.SonstigEinmaligKonto5="Festgeld",$A83=Param.SonstigEinmaligJahr5),Param.SonstigEinmaligBetrag5,0)</f>
        <v>0</v>
      </c>
      <c r="AX83" s="40">
        <f aca="1">IF(AND(Param.SonstigEinmaligKonto6="Festgeld",$A83=Param.SonstigEinmaligJahr6),Param.SonstigEinmaligBetrag6,0)</f>
        <v>0</v>
      </c>
      <c r="AY83" s="40">
        <f aca="1">IF(AND(Param.SonstigEinmaligKonto7="Festgeld",$A83=Param.SonstigEinmaligJahr7),Param.SonstigEinmaligBetrag7,0)</f>
        <v>0</v>
      </c>
      <c r="AZ83" s="40">
        <f aca="1">IF(AND(Param.SonstigEinmaligKonto8="Festgeld",$A83=Param.SonstigEinmaligJahr8),Param.SonstigEinmaligBetrag8,0)</f>
        <v>0</v>
      </c>
      <c r="BA83" s="40">
        <f aca="1">IF(AND(Param.SonstigEinmaligKonto9="Festgeld",$A83=Param.SonstigEinmaligJahr9),Param.SonstigEinmaligBetrag9,0)</f>
        <v>0</v>
      </c>
      <c r="BB83" s="40">
        <f aca="1">IF(AND(Param.SonstigEinmaligKonto10="Festgeld",$A83=Param.SonstigEinmaligJahr10),Param.SonstigEinmaligBetrag10,0)</f>
        <v>0</v>
      </c>
      <c r="BC83" s="40">
        <f aca="1">IF(AND(A83&gt;=Param.FireStartjahr,AP83&gt;0),MIN(N83*R83,AP83),0)</f>
        <v>0</v>
      </c>
      <c r="BD83" s="5">
        <f aca="1">Param.FestgeldZinssatz</f>
        <v>0.02</v>
      </c>
      <c r="BE83" s="40">
        <f>(AP83+AQ83-BC83)*BD83</f>
        <v>0</v>
      </c>
      <c r="BF83" s="40">
        <f aca="1">IF(BE83&gt;Param.SparerPauschbetrag,Param.SparerPauschbetrag,BE83)</f>
        <v>0</v>
      </c>
      <c r="BG83" s="40">
        <f>BE83-BF83</f>
        <v>0</v>
      </c>
      <c r="BH83" s="40">
        <f aca="1">BG83*Param.KapSt</f>
        <v>0</v>
      </c>
      <c r="BI83" s="40">
        <f>BE83-BH83</f>
        <v>0</v>
      </c>
      <c r="BJ83" s="63">
        <f>AP83+SUM(AQ83:BB83)-BC83+BI83</f>
        <v>0</v>
      </c>
      <c r="BK83" s="40">
        <f>AL83+BJ83</f>
        <v>-61728.3547980586009</v>
      </c>
      <c r="BL83" s="40">
        <f aca="1">BK83/(1+Param.Inflationsrate)^(A83-Param.Startjahr)</f>
        <v>-8995.45637308786172</v>
      </c>
      <c r="BM83" s="52">
        <f>IF(BK83&lt;N83,A83,"")</f>
        <v>2104</v>
      </c>
      <c r="BN83" s="40">
        <f>AH83+BC83</f>
        <v>0</v>
      </c>
      <c r="BO83" s="40">
        <f>SUM(AR83:BB83)</f>
        <v>0</v>
      </c>
      <c r="BP83" s="40">
        <f>BN83+(-1*BO83)</f>
        <v>0</v>
      </c>
      <c r="BQ83" s="40">
        <f>AI83+BH83</f>
        <v>0</v>
      </c>
      <c r="BR83" s="5">
        <f>IF(BK83&gt;0,BP83/BK83,0)</f>
        <v>0</v>
      </c>
    </row>
    <row r="84" spans="1:70">
      <c r="A84">
        <f>A83+1</f>
        <v>2105</v>
      </c>
      <c r="B84">
        <f>B26+(59-1)</f>
        <v>109</v>
      </c>
      <c r="C84" s="10">
        <f aca="1">IF(A84&lt;Param.FireStartjahr,0,Param.EntnahmeBetragStart*(1+Param.Inflationsrate)^(A84-Param.Startjahr))</f>
        <v>211011.74096281291</v>
      </c>
      <c r="D84" s="40">
        <f aca="1">IF(OR($A84&lt;Param.SonstigRegelmJahrBeginn1,$A84&gt;Param.SonstigRegelmJahrEnd1),0,Param.SonstigRegelmBetragJaehrl1*(1+Param.SonstigRegelmSteig1)^(A84-Param.SonstigRegelmJahrBeginn1))</f>
        <v>27338.2181034001187</v>
      </c>
      <c r="E84" s="40">
        <f aca="1">IF(OR($A84&lt;Param.SonstigRegelmJahrBeginn2,$A84&gt;Param.SonstigRegelmJahrEnd2),0,Param.SonstigRegelmBetragJaehrl2*(1+Param.SonstigRegelmSteig2)^($A84-Param.SonstigRegelmJahrBeginn2))</f>
        <v>0</v>
      </c>
      <c r="F84" s="40">
        <f aca="1">IF(OR($A84&lt;Param.SonstigRegelmJahrBeginn3,$A84&gt;Param.SonstigRegelmJahrEnd3),0,Param.SonstigRegelmBetragJaehrl3*(1+Param.SonstigRegelmSteig3)^($A84-Param.SonstigRegelmJahrBeginn3))</f>
        <v>0</v>
      </c>
      <c r="G84" s="40">
        <f aca="1">IF(OR($A84&lt;Param.SonstigRegelmJahrBeginn4,$A84&gt;Param.SonstigRegelmJahrEnd4),0,Param.SonstigRegelmBetragJaehrl4*(1+Param.SonstigRegelmSteig4)^($A84-Param.SonstigRegelmJahrBeginn4))</f>
        <v>0</v>
      </c>
      <c r="H84" s="40">
        <f aca="1">IF(OR($A84&lt;Param.SonstigRegelmJahrBeginn5,$A84&gt;Param.SonstigRegelmJahrEnd5),0,Param.SonstigRegelmBetragJaehrl5*(1+Param.SonstigRegelmSteig5)^($A84-Param.SonstigRegelmJahrBeginn5))</f>
        <v>0</v>
      </c>
      <c r="I84" s="40">
        <f aca="1">IF(OR($A84&lt;Param.SonstigRegelmJahrBeginn6,$A84&gt;Param.SonstigRegelmJahrEnd6),0,Param.SonstigRegelmBetragJaehrl6*(1+Param.SonstigRegelmSteig6)^($A84-Param.SonstigRegelmJahrBeginn6))</f>
        <v>0</v>
      </c>
      <c r="J84" s="40">
        <f aca="1">IF(OR($A84&lt;Param.SonstigRegelmJahrBeginn7,$A84&gt;Param.SonstigRegelmJahrEnd7),0,Param.SonstigRegelmBetragJaehrl7*(1+Param.SonstigRegelmSteig7)^($A84-Param.SonstigRegelmJahrBeginn7))</f>
        <v>0</v>
      </c>
      <c r="K84" s="40">
        <f aca="1">IF(OR($A84&lt;Param.SonstigRegelmJahrBeginn8,$A84&gt;Param.SonstigRegelmJahrEnd8),0,Param.SonstigRegelmBetragJaehrl8*(1+Param.SonstigRegelmSteig8)^($A84-Param.SonstigRegelmJahrBeginn8))</f>
        <v>0</v>
      </c>
      <c r="L84" s="40">
        <f aca="1">IF(OR($A84&lt;Param.SonstigRegelmJahrBeginn9,$A84&gt;Param.SonstigRegelmJahrEnd9),0,Param.SonstigRegelmBetragJaehrl9*(1+Param.SonstigRegelmSteig9)^($A84-Param.SonstigRegelmJahrBeginn9))</f>
        <v>0</v>
      </c>
      <c r="M84" s="40">
        <f aca="1">IF(OR($A84&lt;Param.SonstigRegelmJahrBeginn10,$A84&gt;Param.SonstigRegelmJahrEnd10),0,Param.SonstigRegelmBetragJaehrl10*(1+Param.SonstigRegelmSteig10)^($A84-Param.SonstigRegelmJahrBeginn10))</f>
        <v>0</v>
      </c>
      <c r="N84" s="10">
        <f>MAX(0,C84-SUM(D84:M84))</f>
        <v>183673.522859412886</v>
      </c>
      <c r="O84" s="10">
        <f>IF(N84&lt;=0,SUM(D84:M84)-C84,0)</f>
        <v>0</v>
      </c>
      <c r="P84" s="10">
        <f>S84+AP84</f>
        <v>-61728.3547980586009</v>
      </c>
      <c r="Q84" s="11">
        <f>IF(P84&gt;0,S84/P84,0)</f>
        <v>0</v>
      </c>
      <c r="R84" s="11">
        <f>IF(P84&gt;0,AP84/P84,0)</f>
        <v>0</v>
      </c>
      <c r="S84" s="10">
        <f>AL83</f>
        <v>-61728.354798058579</v>
      </c>
      <c r="T84" s="40">
        <f>AM83</f>
        <v>-61173.2268505262982</v>
      </c>
      <c r="U84" s="40">
        <f aca="1">IF(A84&lt;Param.FireStartjahr,Param.SparrateDepotMonatl*12*(1+Param.SparrateDynamikJaehrl)^($A84-Param.Startjahr),0)</f>
        <v>0</v>
      </c>
      <c r="V84" s="40">
        <f aca="1">IF(AND(Param.SonstigEinmaligKonto1="Depot",$A84=Param.SonstigEinmaligJahr1),Param.SonstigEinmaligBetrag1,0)</f>
        <v>0</v>
      </c>
      <c r="W84" s="40">
        <f aca="1">IF(AND(Param.SonstigEinmaligKonto2="Depot",$A84=Param.SonstigEinmaligJahr2),Param.SonstigEinmaligBetrag2,0)</f>
        <v>0</v>
      </c>
      <c r="X84" s="40">
        <f aca="1">IF(AND(Param.SonstigEinmaligKonto3="Depot",$A84=Param.SonstigEinmaligJahr3),Param.SonstigEinmaligBetrag3,0)</f>
        <v>0</v>
      </c>
      <c r="Y84" s="40">
        <f aca="1">IF(AND(Param.SonstigEinmaligKonto4="Depot",$A84=Param.SonstigEinmaligJahr4),Param.SonstigEinmaligBetrag4,0)</f>
        <v>0</v>
      </c>
      <c r="Z84" s="40">
        <f aca="1">IF(AND(Param.SonstigEinmaligKonto5="Depot",$A84=Param.SonstigEinmaligJahr5),Param.SonstigEinmaligBetrag5,0)</f>
        <v>0</v>
      </c>
      <c r="AA84" s="40">
        <f aca="1">IF(AND(Param.SonstigEinmaligKonto6="Depot",$A84=Param.SonstigEinmaligJahr6),Param.SonstigEinmaligBetrag6,0)</f>
        <v>0</v>
      </c>
      <c r="AB84" s="40">
        <f aca="1">IF(AND(Param.SonstigEinmaligKonto7="Depot",$A84=Param.SonstigEinmaligJahr7),Param.SonstigEinmaligBetrag7,0)</f>
        <v>0</v>
      </c>
      <c r="AC84" s="40">
        <f aca="1">IF(AND(Param.SonstigEinmaligKonto8="Depot",$A84=Param.SonstigEinmaligJahr8),Param.SonstigEinmaligBetrag8,0)</f>
        <v>0</v>
      </c>
      <c r="AD84" s="40">
        <f aca="1">IF(AND(Param.SonstigEinmaligKonto9="Depot",$A84=Param.SonstigEinmaligJahr9),Param.SonstigEinmaligBetrag9,0)</f>
        <v>0</v>
      </c>
      <c r="AE84" s="40">
        <f aca="1">IF(AND(Param.SonstigEinmaligKonto10="Depot",$A84=Param.SonstigEinmaligJahr10),Param.SonstigEinmaligBetrag10,0)</f>
        <v>0</v>
      </c>
      <c r="AF84" s="40">
        <f aca="1">Param.SparerPauschbetrag-BF84</f>
        <v>1000</v>
      </c>
      <c r="AG84" s="40">
        <f aca="1">IF(AND(A84&gt;=Param.FireStartjahr,S84&gt;0),MIN(N84*Q84,S84),0)</f>
        <v>0</v>
      </c>
      <c r="AH84" s="40">
        <f aca="1">IF(AG84&lt;=0,0,IF(S84&lt;=0,0,AG84/(1-MAX(0,((T84/S84)*(1-Param.Teilfreistellung)-MIN(AF84,AG84)/AG84)*Param.KapSt))))</f>
        <v>0</v>
      </c>
      <c r="AI84" s="40">
        <f>AH84-AG84</f>
        <v>0</v>
      </c>
      <c r="AJ84" s="40">
        <f>T84-AH84*(T84/S84)</f>
        <v>-61173.2268505262982</v>
      </c>
      <c r="AK84" s="40">
        <f>S84-AH84</f>
        <v>-61728.3547980586009</v>
      </c>
      <c r="AL84" s="40">
        <f>FV(AO84,12,-(U84/12),-AK84,0)</f>
        <v>-65432.0560859396937</v>
      </c>
      <c r="AM84" s="40">
        <f>AJ84+AL84-AK84-U84</f>
        <v>-64876.9281384073984</v>
      </c>
      <c r="AN84" s="5">
        <f>AM84/AL84</f>
        <v>0.991515963569856495</v>
      </c>
      <c r="AO84" s="5">
        <f aca="1">(1+IF(AND(A84&gt;=Param.DepotRenditeSpezBeginn1,A84&lt;=Param.DepotRenditeSpezEnde1),Param.DepotRenditeSpezProz1,IF(AND(A84&gt;=Param.DepotRenditeSpezBeginn2,A84&lt;=Param.DepotRenditeSpezEnde2),Param.DepotRenditeSpezProz2,IF(AND(A84&gt;=Param.DepotRenditeSpezBeginn3,A84&lt;=Param.DepotRenditeSpezEnde3),Param.DepotRenditeSpezProz3,IF(AND(A84&gt;=Param.DepotRenditeSpezBeginn4,A84&lt;=Param.DepotRenditeSpezEnde4),Param.DepotRenditeSpezProz4,IF(AND(A84&gt;=Param.DepotRenditeSpezBeginn5,A84&lt;=Param.DepotRenditeSpezEnde5),Param.DepotRenditeSpezProz5,Param.DepotRenditeDefault))))))^(1/12)-1</f>
        <v>0.00486755056533993979</v>
      </c>
      <c r="AP84" s="40">
        <f>BJ83</f>
        <v>0</v>
      </c>
      <c r="AQ84" s="40">
        <f aca="1">IF(A84&lt;Param.FireStartjahr,Param.SparrateFestgeldMonatl*12*(1+Param.SparrateDynamikJaehrl)^($A84-Param.Startjahr),0)</f>
        <v>0</v>
      </c>
      <c r="AR84" s="40">
        <f>O84</f>
        <v>0</v>
      </c>
      <c r="AS84" s="40">
        <f aca="1">IF(AND(Param.SonstigEinmaligKonto1="Festgeld",$A84=Param.SonstigEinmaligJahr1),Param.SonstigEinmaligBetrag1,0)</f>
        <v>0</v>
      </c>
      <c r="AT84" s="40">
        <f aca="1">IF(AND(Param.SonstigEinmaligKonto2="Festgeld",$A84=Param.SonstigEinmaligJahr2),Param.SonstigEinmaligBetrag2,0)</f>
        <v>0</v>
      </c>
      <c r="AU84" s="40">
        <f aca="1">IF(AND(Param.SonstigEinmaligKonto3="Festgeld",$A84=Param.SonstigEinmaligJahr3),Param.SonstigEinmaligBetrag3,0)</f>
        <v>0</v>
      </c>
      <c r="AV84" s="40">
        <f aca="1">IF(AND(Param.SonstigEinmaligKonto4="Festgeld",$A84=Param.SonstigEinmaligJahr4),Param.SonstigEinmaligBetrag4,0)</f>
        <v>0</v>
      </c>
      <c r="AW84" s="40">
        <f aca="1">IF(AND(Param.SonstigEinmaligKonto5="Festgeld",$A84=Param.SonstigEinmaligJahr5),Param.SonstigEinmaligBetrag5,0)</f>
        <v>0</v>
      </c>
      <c r="AX84" s="40">
        <f aca="1">IF(AND(Param.SonstigEinmaligKonto6="Festgeld",$A84=Param.SonstigEinmaligJahr6),Param.SonstigEinmaligBetrag6,0)</f>
        <v>0</v>
      </c>
      <c r="AY84" s="40">
        <f aca="1">IF(AND(Param.SonstigEinmaligKonto7="Festgeld",$A84=Param.SonstigEinmaligJahr7),Param.SonstigEinmaligBetrag7,0)</f>
        <v>0</v>
      </c>
      <c r="AZ84" s="40">
        <f aca="1">IF(AND(Param.SonstigEinmaligKonto8="Festgeld",$A84=Param.SonstigEinmaligJahr8),Param.SonstigEinmaligBetrag8,0)</f>
        <v>0</v>
      </c>
      <c r="BA84" s="40">
        <f aca="1">IF(AND(Param.SonstigEinmaligKonto9="Festgeld",$A84=Param.SonstigEinmaligJahr9),Param.SonstigEinmaligBetrag9,0)</f>
        <v>0</v>
      </c>
      <c r="BB84" s="40">
        <f aca="1">IF(AND(Param.SonstigEinmaligKonto10="Festgeld",$A84=Param.SonstigEinmaligJahr10),Param.SonstigEinmaligBetrag10,0)</f>
        <v>0</v>
      </c>
      <c r="BC84" s="40">
        <f aca="1">IF(AND(A84&gt;=Param.FireStartjahr,AP84&gt;0),MIN(N84*R84,AP84),0)</f>
        <v>0</v>
      </c>
      <c r="BD84" s="5">
        <f aca="1">Param.FestgeldZinssatz</f>
        <v>0.02</v>
      </c>
      <c r="BE84" s="40">
        <f>(AP84+AQ84-BC84)*BD84</f>
        <v>0</v>
      </c>
      <c r="BF84" s="40">
        <f aca="1">IF(BE84&gt;Param.SparerPauschbetrag,Param.SparerPauschbetrag,BE84)</f>
        <v>0</v>
      </c>
      <c r="BG84" s="40">
        <f>BE84-BF84</f>
        <v>0</v>
      </c>
      <c r="BH84" s="40">
        <f aca="1">BG84*Param.KapSt</f>
        <v>0</v>
      </c>
      <c r="BI84" s="40">
        <f>BE84-BH84</f>
        <v>0</v>
      </c>
      <c r="BJ84" s="63">
        <f>AP84+SUM(AQ84:BB84)-BC84+BI84</f>
        <v>0</v>
      </c>
      <c r="BK84" s="40">
        <f>AL84+BJ84</f>
        <v>-65432.056085939701</v>
      </c>
      <c r="BL84" s="40">
        <f aca="1">BK84/(1+Param.Inflationsrate)^(A84-Param.Startjahr)</f>
        <v>-9302.61829802223292</v>
      </c>
      <c r="BM84" s="52">
        <f>IF(BK84&lt;N84,A84,"")</f>
        <v>2105</v>
      </c>
      <c r="BN84" s="40">
        <f>AH84+BC84</f>
        <v>0</v>
      </c>
      <c r="BO84" s="40">
        <f>SUM(AR84:BB84)</f>
        <v>0</v>
      </c>
      <c r="BP84" s="40">
        <f>BN84+(-1*BO84)</f>
        <v>0</v>
      </c>
      <c r="BQ84" s="40">
        <f>AI84+BH84</f>
        <v>0</v>
      </c>
      <c r="BR84" s="5">
        <f>IF(BK84&gt;0,BP84/BK84,0)</f>
        <v>0</v>
      </c>
    </row>
    <row r="85" spans="1:70">
      <c r="A85">
        <f>A84+1</f>
        <v>2106</v>
      </c>
      <c r="B85">
        <f>B27+(59-1)</f>
        <v>110</v>
      </c>
      <c r="C85" s="10">
        <f aca="1">IF(A85&lt;Param.FireStartjahr,0,Param.EntnahmeBetragStart*(1+Param.Inflationsrate)^(A85-Param.Startjahr))</f>
        <v>216287.034486883203</v>
      </c>
      <c r="D85" s="40">
        <f aca="1">IF(OR($A85&lt;Param.SonstigRegelmJahrBeginn1,$A85&gt;Param.SonstigRegelmJahrEnd1),0,Param.SonstigRegelmBetragJaehrl1*(1+Param.SonstigRegelmSteig1)^(A85-Param.SonstigRegelmJahrBeginn1))</f>
        <v>27611.6002844342365</v>
      </c>
      <c r="E85" s="40">
        <f aca="1">IF(OR($A85&lt;Param.SonstigRegelmJahrBeginn2,$A85&gt;Param.SonstigRegelmJahrEnd2),0,Param.SonstigRegelmBetragJaehrl2*(1+Param.SonstigRegelmSteig2)^($A85-Param.SonstigRegelmJahrBeginn2))</f>
        <v>0</v>
      </c>
      <c r="F85" s="40">
        <f aca="1">IF(OR($A85&lt;Param.SonstigRegelmJahrBeginn3,$A85&gt;Param.SonstigRegelmJahrEnd3),0,Param.SonstigRegelmBetragJaehrl3*(1+Param.SonstigRegelmSteig3)^($A85-Param.SonstigRegelmJahrBeginn3))</f>
        <v>0</v>
      </c>
      <c r="G85" s="40">
        <f aca="1">IF(OR($A85&lt;Param.SonstigRegelmJahrBeginn4,$A85&gt;Param.SonstigRegelmJahrEnd4),0,Param.SonstigRegelmBetragJaehrl4*(1+Param.SonstigRegelmSteig4)^($A85-Param.SonstigRegelmJahrBeginn4))</f>
        <v>0</v>
      </c>
      <c r="H85" s="40">
        <f aca="1">IF(OR($A85&lt;Param.SonstigRegelmJahrBeginn5,$A85&gt;Param.SonstigRegelmJahrEnd5),0,Param.SonstigRegelmBetragJaehrl5*(1+Param.SonstigRegelmSteig5)^($A85-Param.SonstigRegelmJahrBeginn5))</f>
        <v>0</v>
      </c>
      <c r="I85" s="40">
        <f aca="1">IF(OR($A85&lt;Param.SonstigRegelmJahrBeginn6,$A85&gt;Param.SonstigRegelmJahrEnd6),0,Param.SonstigRegelmBetragJaehrl6*(1+Param.SonstigRegelmSteig6)^($A85-Param.SonstigRegelmJahrBeginn6))</f>
        <v>0</v>
      </c>
      <c r="J85" s="40">
        <f aca="1">IF(OR($A85&lt;Param.SonstigRegelmJahrBeginn7,$A85&gt;Param.SonstigRegelmJahrEnd7),0,Param.SonstigRegelmBetragJaehrl7*(1+Param.SonstigRegelmSteig7)^($A85-Param.SonstigRegelmJahrBeginn7))</f>
        <v>0</v>
      </c>
      <c r="K85" s="40">
        <f aca="1">IF(OR($A85&lt;Param.SonstigRegelmJahrBeginn8,$A85&gt;Param.SonstigRegelmJahrEnd8),0,Param.SonstigRegelmBetragJaehrl8*(1+Param.SonstigRegelmSteig8)^($A85-Param.SonstigRegelmJahrBeginn8))</f>
        <v>0</v>
      </c>
      <c r="L85" s="40">
        <f aca="1">IF(OR($A85&lt;Param.SonstigRegelmJahrBeginn9,$A85&gt;Param.SonstigRegelmJahrEnd9),0,Param.SonstigRegelmBetragJaehrl9*(1+Param.SonstigRegelmSteig9)^($A85-Param.SonstigRegelmJahrBeginn9))</f>
        <v>0</v>
      </c>
      <c r="M85" s="40">
        <f aca="1">IF(OR($A85&lt;Param.SonstigRegelmJahrBeginn10,$A85&gt;Param.SonstigRegelmJahrEnd10),0,Param.SonstigRegelmBetragJaehrl10*(1+Param.SonstigRegelmSteig10)^($A85-Param.SonstigRegelmJahrBeginn10))</f>
        <v>0</v>
      </c>
      <c r="N85" s="10">
        <f>MAX(0,C85-SUM(D85:M85))</f>
        <v>188675.434202448814</v>
      </c>
      <c r="O85" s="10">
        <f>IF(N85&lt;=0,SUM(D85:M85)-C85,0)</f>
        <v>0</v>
      </c>
      <c r="P85" s="10">
        <f>S85+AP85</f>
        <v>-65432.056085939701</v>
      </c>
      <c r="Q85" s="11">
        <f>IF(P85&gt;0,S85/P85,0)</f>
        <v>0</v>
      </c>
      <c r="R85" s="11">
        <f>IF(P85&gt;0,AP85/P85,0)</f>
        <v>0</v>
      </c>
      <c r="S85" s="10">
        <f>AL84</f>
        <v>-65432.0560859396937</v>
      </c>
      <c r="T85" s="40">
        <f>AM84</f>
        <v>-64876.9281384073984</v>
      </c>
      <c r="U85" s="40">
        <f aca="1">IF(A85&lt;Param.FireStartjahr,Param.SparrateDepotMonatl*12*(1+Param.SparrateDynamikJaehrl)^($A85-Param.Startjahr),0)</f>
        <v>0</v>
      </c>
      <c r="V85" s="40">
        <f aca="1">IF(AND(Param.SonstigEinmaligKonto1="Depot",$A85=Param.SonstigEinmaligJahr1),Param.SonstigEinmaligBetrag1,0)</f>
        <v>0</v>
      </c>
      <c r="W85" s="40">
        <f aca="1">IF(AND(Param.SonstigEinmaligKonto2="Depot",$A85=Param.SonstigEinmaligJahr2),Param.SonstigEinmaligBetrag2,0)</f>
        <v>0</v>
      </c>
      <c r="X85" s="40">
        <f aca="1">IF(AND(Param.SonstigEinmaligKonto3="Depot",$A85=Param.SonstigEinmaligJahr3),Param.SonstigEinmaligBetrag3,0)</f>
        <v>0</v>
      </c>
      <c r="Y85" s="40">
        <f aca="1">IF(AND(Param.SonstigEinmaligKonto4="Depot",$A85=Param.SonstigEinmaligJahr4),Param.SonstigEinmaligBetrag4,0)</f>
        <v>0</v>
      </c>
      <c r="Z85" s="40">
        <f aca="1">IF(AND(Param.SonstigEinmaligKonto5="Depot",$A85=Param.SonstigEinmaligJahr5),Param.SonstigEinmaligBetrag5,0)</f>
        <v>0</v>
      </c>
      <c r="AA85" s="40">
        <f aca="1">IF(AND(Param.SonstigEinmaligKonto6="Depot",$A85=Param.SonstigEinmaligJahr6),Param.SonstigEinmaligBetrag6,0)</f>
        <v>0</v>
      </c>
      <c r="AB85" s="40">
        <f aca="1">IF(AND(Param.SonstigEinmaligKonto7="Depot",$A85=Param.SonstigEinmaligJahr7),Param.SonstigEinmaligBetrag7,0)</f>
        <v>0</v>
      </c>
      <c r="AC85" s="40">
        <f aca="1">IF(AND(Param.SonstigEinmaligKonto8="Depot",$A85=Param.SonstigEinmaligJahr8),Param.SonstigEinmaligBetrag8,0)</f>
        <v>0</v>
      </c>
      <c r="AD85" s="40">
        <f aca="1">IF(AND(Param.SonstigEinmaligKonto9="Depot",$A85=Param.SonstigEinmaligJahr9),Param.SonstigEinmaligBetrag9,0)</f>
        <v>0</v>
      </c>
      <c r="AE85" s="40">
        <f aca="1">IF(AND(Param.SonstigEinmaligKonto10="Depot",$A85=Param.SonstigEinmaligJahr10),Param.SonstigEinmaligBetrag10,0)</f>
        <v>0</v>
      </c>
      <c r="AF85" s="40">
        <f aca="1">Param.SparerPauschbetrag-BF85</f>
        <v>1000</v>
      </c>
      <c r="AG85" s="40">
        <f aca="1">IF(AND(A85&gt;=Param.FireStartjahr,S85&gt;0),MIN(N85*Q85,S85),0)</f>
        <v>0</v>
      </c>
      <c r="AH85" s="40">
        <f aca="1">IF(AG85&lt;=0,0,IF(S85&lt;=0,0,AG85/(1-MAX(0,((T85/S85)*(1-Param.Teilfreistellung)-MIN(AF85,AG85)/AG85)*Param.KapSt))))</f>
        <v>0</v>
      </c>
      <c r="AI85" s="40">
        <f>AH85-AG85</f>
        <v>0</v>
      </c>
      <c r="AJ85" s="40">
        <f>T85-AH85*(T85/S85)</f>
        <v>-64876.9281384073984</v>
      </c>
      <c r="AK85" s="40">
        <f>S85-AH85</f>
        <v>-65432.056085939701</v>
      </c>
      <c r="AL85" s="40">
        <f>FV(AO85,12,-(U85/12),-AK85,0)</f>
        <v>-69357.9794510935171</v>
      </c>
      <c r="AM85" s="40">
        <f>AJ85+AL85-AK85-U85</f>
        <v>-68802.8515035612945</v>
      </c>
      <c r="AN85" s="5">
        <f>AM85/AL85</f>
        <v>0.991996192047035485</v>
      </c>
      <c r="AO85" s="5">
        <f aca="1">(1+IF(AND(A85&gt;=Param.DepotRenditeSpezBeginn1,A85&lt;=Param.DepotRenditeSpezEnde1),Param.DepotRenditeSpezProz1,IF(AND(A85&gt;=Param.DepotRenditeSpezBeginn2,A85&lt;=Param.DepotRenditeSpezEnde2),Param.DepotRenditeSpezProz2,IF(AND(A85&gt;=Param.DepotRenditeSpezBeginn3,A85&lt;=Param.DepotRenditeSpezEnde3),Param.DepotRenditeSpezProz3,IF(AND(A85&gt;=Param.DepotRenditeSpezBeginn4,A85&lt;=Param.DepotRenditeSpezEnde4),Param.DepotRenditeSpezProz4,IF(AND(A85&gt;=Param.DepotRenditeSpezBeginn5,A85&lt;=Param.DepotRenditeSpezEnde5),Param.DepotRenditeSpezProz5,Param.DepotRenditeDefault))))))^(1/12)-1</f>
        <v>0.00486755056533993979</v>
      </c>
      <c r="AP85" s="40">
        <f>BJ84</f>
        <v>0</v>
      </c>
      <c r="AQ85" s="40">
        <f aca="1">IF(A85&lt;Param.FireStartjahr,Param.SparrateFestgeldMonatl*12*(1+Param.SparrateDynamikJaehrl)^($A85-Param.Startjahr),0)</f>
        <v>0</v>
      </c>
      <c r="AR85" s="40">
        <f>O85</f>
        <v>0</v>
      </c>
      <c r="AS85" s="40">
        <f aca="1">IF(AND(Param.SonstigEinmaligKonto1="Festgeld",$A85=Param.SonstigEinmaligJahr1),Param.SonstigEinmaligBetrag1,0)</f>
        <v>0</v>
      </c>
      <c r="AT85" s="40">
        <f aca="1">IF(AND(Param.SonstigEinmaligKonto2="Festgeld",$A85=Param.SonstigEinmaligJahr2),Param.SonstigEinmaligBetrag2,0)</f>
        <v>0</v>
      </c>
      <c r="AU85" s="40">
        <f aca="1">IF(AND(Param.SonstigEinmaligKonto3="Festgeld",$A85=Param.SonstigEinmaligJahr3),Param.SonstigEinmaligBetrag3,0)</f>
        <v>0</v>
      </c>
      <c r="AV85" s="40">
        <f aca="1">IF(AND(Param.SonstigEinmaligKonto4="Festgeld",$A85=Param.SonstigEinmaligJahr4),Param.SonstigEinmaligBetrag4,0)</f>
        <v>0</v>
      </c>
      <c r="AW85" s="40">
        <f aca="1">IF(AND(Param.SonstigEinmaligKonto5="Festgeld",$A85=Param.SonstigEinmaligJahr5),Param.SonstigEinmaligBetrag5,0)</f>
        <v>0</v>
      </c>
      <c r="AX85" s="40">
        <f aca="1">IF(AND(Param.SonstigEinmaligKonto6="Festgeld",$A85=Param.SonstigEinmaligJahr6),Param.SonstigEinmaligBetrag6,0)</f>
        <v>0</v>
      </c>
      <c r="AY85" s="40">
        <f aca="1">IF(AND(Param.SonstigEinmaligKonto7="Festgeld",$A85=Param.SonstigEinmaligJahr7),Param.SonstigEinmaligBetrag7,0)</f>
        <v>0</v>
      </c>
      <c r="AZ85" s="40">
        <f aca="1">IF(AND(Param.SonstigEinmaligKonto8="Festgeld",$A85=Param.SonstigEinmaligJahr8),Param.SonstigEinmaligBetrag8,0)</f>
        <v>0</v>
      </c>
      <c r="BA85" s="40">
        <f aca="1">IF(AND(Param.SonstigEinmaligKonto9="Festgeld",$A85=Param.SonstigEinmaligJahr9),Param.SonstigEinmaligBetrag9,0)</f>
        <v>0</v>
      </c>
      <c r="BB85" s="40">
        <f aca="1">IF(AND(Param.SonstigEinmaligKonto10="Festgeld",$A85=Param.SonstigEinmaligJahr10),Param.SonstigEinmaligBetrag10,0)</f>
        <v>0</v>
      </c>
      <c r="BC85" s="40">
        <f aca="1">IF(AND(A85&gt;=Param.FireStartjahr,AP85&gt;0),MIN(N85*R85,AP85),0)</f>
        <v>0</v>
      </c>
      <c r="BD85" s="5">
        <f aca="1">Param.FestgeldZinssatz</f>
        <v>0.02</v>
      </c>
      <c r="BE85" s="40">
        <f>(AP85+AQ85-BC85)*BD85</f>
        <v>0</v>
      </c>
      <c r="BF85" s="40">
        <f aca="1">IF(BE85&gt;Param.SparerPauschbetrag,Param.SparerPauschbetrag,BE85)</f>
        <v>0</v>
      </c>
      <c r="BG85" s="40">
        <f>BE85-BF85</f>
        <v>0</v>
      </c>
      <c r="BH85" s="40">
        <f aca="1">BG85*Param.KapSt</f>
        <v>0</v>
      </c>
      <c r="BI85" s="40">
        <f>BE85-BH85</f>
        <v>0</v>
      </c>
      <c r="BJ85" s="63">
        <f>AP85+SUM(AQ85:BB85)-BC85+BI85</f>
        <v>0</v>
      </c>
      <c r="BK85" s="40">
        <f>AL85+BJ85</f>
        <v>-69357.9794510935026</v>
      </c>
      <c r="BL85" s="40">
        <f aca="1">BK85/(1+Param.Inflationsrate)^(A85-Param.Startjahr)</f>
        <v>-9620.26867892995324</v>
      </c>
      <c r="BM85" s="52">
        <f>IF(BK85&lt;N85,A85,"")</f>
        <v>2106</v>
      </c>
      <c r="BN85" s="40">
        <f>AH85+BC85</f>
        <v>0</v>
      </c>
      <c r="BO85" s="40">
        <f>SUM(AR85:BB85)</f>
        <v>0</v>
      </c>
      <c r="BP85" s="40">
        <f>BN85+(-1*BO85)</f>
        <v>0</v>
      </c>
      <c r="BQ85" s="40">
        <f>AI85+BH85</f>
        <v>0</v>
      </c>
      <c r="BR85" s="5">
        <f>IF(BK85&gt;0,BP85/BK85,0)</f>
        <v>0</v>
      </c>
    </row>
    <row r="86" spans="1:70">
      <c r="A86">
        <f>A85+1</f>
        <v>2107</v>
      </c>
      <c r="B86">
        <f>B28+(59-1)</f>
        <v>111</v>
      </c>
      <c r="C86" s="10">
        <f aca="1">IF(A86&lt;Param.FireStartjahr,0,Param.EntnahmeBetragStart*(1+Param.Inflationsrate)^(A86-Param.Startjahr))</f>
        <v>221694.210349055415</v>
      </c>
      <c r="D86" s="40">
        <f aca="1">IF(OR($A86&lt;Param.SonstigRegelmJahrBeginn1,$A86&gt;Param.SonstigRegelmJahrEnd1),0,Param.SonstigRegelmBetragJaehrl1*(1+Param.SonstigRegelmSteig1)^(A86-Param.SonstigRegelmJahrBeginn1))</f>
        <v>27887.716287278643</v>
      </c>
      <c r="E86" s="40">
        <f aca="1">IF(OR($A86&lt;Param.SonstigRegelmJahrBeginn2,$A86&gt;Param.SonstigRegelmJahrEnd2),0,Param.SonstigRegelmBetragJaehrl2*(1+Param.SonstigRegelmSteig2)^($A86-Param.SonstigRegelmJahrBeginn2))</f>
        <v>0</v>
      </c>
      <c r="F86" s="40">
        <f aca="1">IF(OR($A86&lt;Param.SonstigRegelmJahrBeginn3,$A86&gt;Param.SonstigRegelmJahrEnd3),0,Param.SonstigRegelmBetragJaehrl3*(1+Param.SonstigRegelmSteig3)^($A86-Param.SonstigRegelmJahrBeginn3))</f>
        <v>0</v>
      </c>
      <c r="G86" s="40">
        <f aca="1">IF(OR($A86&lt;Param.SonstigRegelmJahrBeginn4,$A86&gt;Param.SonstigRegelmJahrEnd4),0,Param.SonstigRegelmBetragJaehrl4*(1+Param.SonstigRegelmSteig4)^($A86-Param.SonstigRegelmJahrBeginn4))</f>
        <v>0</v>
      </c>
      <c r="H86" s="40">
        <f aca="1">IF(OR($A86&lt;Param.SonstigRegelmJahrBeginn5,$A86&gt;Param.SonstigRegelmJahrEnd5),0,Param.SonstigRegelmBetragJaehrl5*(1+Param.SonstigRegelmSteig5)^($A86-Param.SonstigRegelmJahrBeginn5))</f>
        <v>0</v>
      </c>
      <c r="I86" s="40">
        <f aca="1">IF(OR($A86&lt;Param.SonstigRegelmJahrBeginn6,$A86&gt;Param.SonstigRegelmJahrEnd6),0,Param.SonstigRegelmBetragJaehrl6*(1+Param.SonstigRegelmSteig6)^($A86-Param.SonstigRegelmJahrBeginn6))</f>
        <v>0</v>
      </c>
      <c r="J86" s="40">
        <f aca="1">IF(OR($A86&lt;Param.SonstigRegelmJahrBeginn7,$A86&gt;Param.SonstigRegelmJahrEnd7),0,Param.SonstigRegelmBetragJaehrl7*(1+Param.SonstigRegelmSteig7)^($A86-Param.SonstigRegelmJahrBeginn7))</f>
        <v>0</v>
      </c>
      <c r="K86" s="40">
        <f aca="1">IF(OR($A86&lt;Param.SonstigRegelmJahrBeginn8,$A86&gt;Param.SonstigRegelmJahrEnd8),0,Param.SonstigRegelmBetragJaehrl8*(1+Param.SonstigRegelmSteig8)^($A86-Param.SonstigRegelmJahrBeginn8))</f>
        <v>0</v>
      </c>
      <c r="L86" s="40">
        <f aca="1">IF(OR($A86&lt;Param.SonstigRegelmJahrBeginn9,$A86&gt;Param.SonstigRegelmJahrEnd9),0,Param.SonstigRegelmBetragJaehrl9*(1+Param.SonstigRegelmSteig9)^($A86-Param.SonstigRegelmJahrBeginn9))</f>
        <v>0</v>
      </c>
      <c r="M86" s="40">
        <f aca="1">IF(OR($A86&lt;Param.SonstigRegelmJahrBeginn10,$A86&gt;Param.SonstigRegelmJahrEnd10),0,Param.SonstigRegelmBetragJaehrl10*(1+Param.SonstigRegelmSteig10)^($A86-Param.SonstigRegelmJahrBeginn10))</f>
        <v>0</v>
      </c>
      <c r="N86" s="10">
        <f>MAX(0,C86-SUM(D86:M86))</f>
        <v>193806.494061776408</v>
      </c>
      <c r="O86" s="10">
        <f>IF(N86&lt;=0,SUM(D86:M86)-C86,0)</f>
        <v>0</v>
      </c>
      <c r="P86" s="10">
        <f>S86+AP86</f>
        <v>-69357.9794510935026</v>
      </c>
      <c r="Q86" s="11">
        <f>IF(P86&gt;0,S86/P86,0)</f>
        <v>0</v>
      </c>
      <c r="R86" s="11">
        <f>IF(P86&gt;0,AP86/P86,0)</f>
        <v>0</v>
      </c>
      <c r="S86" s="10">
        <f>AL85</f>
        <v>-69357.9794510935171</v>
      </c>
      <c r="T86" s="40">
        <f>AM85</f>
        <v>-68802.8515035612945</v>
      </c>
      <c r="U86" s="40">
        <f aca="1">IF(A86&lt;Param.FireStartjahr,Param.SparrateDepotMonatl*12*(1+Param.SparrateDynamikJaehrl)^($A86-Param.Startjahr),0)</f>
        <v>0</v>
      </c>
      <c r="V86" s="40">
        <f aca="1">IF(AND(Param.SonstigEinmaligKonto1="Depot",$A86=Param.SonstigEinmaligJahr1),Param.SonstigEinmaligBetrag1,0)</f>
        <v>0</v>
      </c>
      <c r="W86" s="40">
        <f aca="1">IF(AND(Param.SonstigEinmaligKonto2="Depot",$A86=Param.SonstigEinmaligJahr2),Param.SonstigEinmaligBetrag2,0)</f>
        <v>0</v>
      </c>
      <c r="X86" s="40">
        <f aca="1">IF(AND(Param.SonstigEinmaligKonto3="Depot",$A86=Param.SonstigEinmaligJahr3),Param.SonstigEinmaligBetrag3,0)</f>
        <v>0</v>
      </c>
      <c r="Y86" s="40">
        <f aca="1">IF(AND(Param.SonstigEinmaligKonto4="Depot",$A86=Param.SonstigEinmaligJahr4),Param.SonstigEinmaligBetrag4,0)</f>
        <v>0</v>
      </c>
      <c r="Z86" s="40">
        <f aca="1">IF(AND(Param.SonstigEinmaligKonto5="Depot",$A86=Param.SonstigEinmaligJahr5),Param.SonstigEinmaligBetrag5,0)</f>
        <v>0</v>
      </c>
      <c r="AA86" s="40">
        <f aca="1">IF(AND(Param.SonstigEinmaligKonto6="Depot",$A86=Param.SonstigEinmaligJahr6),Param.SonstigEinmaligBetrag6,0)</f>
        <v>0</v>
      </c>
      <c r="AB86" s="40">
        <f aca="1">IF(AND(Param.SonstigEinmaligKonto7="Depot",$A86=Param.SonstigEinmaligJahr7),Param.SonstigEinmaligBetrag7,0)</f>
        <v>0</v>
      </c>
      <c r="AC86" s="40">
        <f aca="1">IF(AND(Param.SonstigEinmaligKonto8="Depot",$A86=Param.SonstigEinmaligJahr8),Param.SonstigEinmaligBetrag8,0)</f>
        <v>0</v>
      </c>
      <c r="AD86" s="40">
        <f aca="1">IF(AND(Param.SonstigEinmaligKonto9="Depot",$A86=Param.SonstigEinmaligJahr9),Param.SonstigEinmaligBetrag9,0)</f>
        <v>0</v>
      </c>
      <c r="AE86" s="40">
        <f aca="1">IF(AND(Param.SonstigEinmaligKonto10="Depot",$A86=Param.SonstigEinmaligJahr10),Param.SonstigEinmaligBetrag10,0)</f>
        <v>0</v>
      </c>
      <c r="AF86" s="40">
        <f aca="1">Param.SparerPauschbetrag-BF86</f>
        <v>1000</v>
      </c>
      <c r="AG86" s="40">
        <f aca="1">IF(AND(A86&gt;=Param.FireStartjahr,S86&gt;0),MIN(N86*Q86,S86),0)</f>
        <v>0</v>
      </c>
      <c r="AH86" s="40">
        <f aca="1">IF(AG86&lt;=0,0,IF(S86&lt;=0,0,AG86/(1-MAX(0,((T86/S86)*(1-Param.Teilfreistellung)-MIN(AF86,AG86)/AG86)*Param.KapSt))))</f>
        <v>0</v>
      </c>
      <c r="AI86" s="40">
        <f>AH86-AG86</f>
        <v>0</v>
      </c>
      <c r="AJ86" s="40">
        <f>T86-AH86*(T86/S86)</f>
        <v>-68802.8515035612945</v>
      </c>
      <c r="AK86" s="40">
        <f>S86-AH86</f>
        <v>-69357.9794510935026</v>
      </c>
      <c r="AL86" s="40">
        <f>FV(AO86,12,-(U86/12),-AK86,0)</f>
        <v>-73519.4582181563892</v>
      </c>
      <c r="AM86" s="40">
        <f>AJ86+AL86-AK86-U86</f>
        <v>-72964.3302706245013</v>
      </c>
      <c r="AN86" s="5">
        <f>AM86/AL86</f>
        <v>0.992449237780226134</v>
      </c>
      <c r="AO86" s="5">
        <f aca="1">(1+IF(AND(A86&gt;=Param.DepotRenditeSpezBeginn1,A86&lt;=Param.DepotRenditeSpezEnde1),Param.DepotRenditeSpezProz1,IF(AND(A86&gt;=Param.DepotRenditeSpezBeginn2,A86&lt;=Param.DepotRenditeSpezEnde2),Param.DepotRenditeSpezProz2,IF(AND(A86&gt;=Param.DepotRenditeSpezBeginn3,A86&lt;=Param.DepotRenditeSpezEnde3),Param.DepotRenditeSpezProz3,IF(AND(A86&gt;=Param.DepotRenditeSpezBeginn4,A86&lt;=Param.DepotRenditeSpezEnde4),Param.DepotRenditeSpezProz4,IF(AND(A86&gt;=Param.DepotRenditeSpezBeginn5,A86&lt;=Param.DepotRenditeSpezEnde5),Param.DepotRenditeSpezProz5,Param.DepotRenditeDefault))))))^(1/12)-1</f>
        <v>0.00486755056533993979</v>
      </c>
      <c r="AP86" s="40">
        <f>BJ85</f>
        <v>0</v>
      </c>
      <c r="AQ86" s="40">
        <f aca="1">IF(A86&lt;Param.FireStartjahr,Param.SparrateFestgeldMonatl*12*(1+Param.SparrateDynamikJaehrl)^($A86-Param.Startjahr),0)</f>
        <v>0</v>
      </c>
      <c r="AR86" s="40">
        <f>O86</f>
        <v>0</v>
      </c>
      <c r="AS86" s="40">
        <f aca="1">IF(AND(Param.SonstigEinmaligKonto1="Festgeld",$A86=Param.SonstigEinmaligJahr1),Param.SonstigEinmaligBetrag1,0)</f>
        <v>0</v>
      </c>
      <c r="AT86" s="40">
        <f aca="1">IF(AND(Param.SonstigEinmaligKonto2="Festgeld",$A86=Param.SonstigEinmaligJahr2),Param.SonstigEinmaligBetrag2,0)</f>
        <v>0</v>
      </c>
      <c r="AU86" s="40">
        <f aca="1">IF(AND(Param.SonstigEinmaligKonto3="Festgeld",$A86=Param.SonstigEinmaligJahr3),Param.SonstigEinmaligBetrag3,0)</f>
        <v>0</v>
      </c>
      <c r="AV86" s="40">
        <f aca="1">IF(AND(Param.SonstigEinmaligKonto4="Festgeld",$A86=Param.SonstigEinmaligJahr4),Param.SonstigEinmaligBetrag4,0)</f>
        <v>0</v>
      </c>
      <c r="AW86" s="40">
        <f aca="1">IF(AND(Param.SonstigEinmaligKonto5="Festgeld",$A86=Param.SonstigEinmaligJahr5),Param.SonstigEinmaligBetrag5,0)</f>
        <v>0</v>
      </c>
      <c r="AX86" s="40">
        <f aca="1">IF(AND(Param.SonstigEinmaligKonto6="Festgeld",$A86=Param.SonstigEinmaligJahr6),Param.SonstigEinmaligBetrag6,0)</f>
        <v>0</v>
      </c>
      <c r="AY86" s="40">
        <f aca="1">IF(AND(Param.SonstigEinmaligKonto7="Festgeld",$A86=Param.SonstigEinmaligJahr7),Param.SonstigEinmaligBetrag7,0)</f>
        <v>0</v>
      </c>
      <c r="AZ86" s="40">
        <f aca="1">IF(AND(Param.SonstigEinmaligKonto8="Festgeld",$A86=Param.SonstigEinmaligJahr8),Param.SonstigEinmaligBetrag8,0)</f>
        <v>0</v>
      </c>
      <c r="BA86" s="40">
        <f aca="1">IF(AND(Param.SonstigEinmaligKonto9="Festgeld",$A86=Param.SonstigEinmaligJahr9),Param.SonstigEinmaligBetrag9,0)</f>
        <v>0</v>
      </c>
      <c r="BB86" s="40">
        <f aca="1">IF(AND(Param.SonstigEinmaligKonto10="Festgeld",$A86=Param.SonstigEinmaligJahr10),Param.SonstigEinmaligBetrag10,0)</f>
        <v>0</v>
      </c>
      <c r="BC86" s="40">
        <f aca="1">IF(AND(A86&gt;=Param.FireStartjahr,AP86&gt;0),MIN(N86*R86,AP86),0)</f>
        <v>0</v>
      </c>
      <c r="BD86" s="5">
        <f aca="1">Param.FestgeldZinssatz</f>
        <v>0.02</v>
      </c>
      <c r="BE86" s="40">
        <f>(AP86+AQ86-BC86)*BD86</f>
        <v>0</v>
      </c>
      <c r="BF86" s="40">
        <f aca="1">IF(BE86&gt;Param.SparerPauschbetrag,Param.SparerPauschbetrag,BE86)</f>
        <v>0</v>
      </c>
      <c r="BG86" s="40">
        <f>BE86-BF86</f>
        <v>0</v>
      </c>
      <c r="BH86" s="40">
        <f aca="1">BG86*Param.KapSt</f>
        <v>0</v>
      </c>
      <c r="BI86" s="40">
        <f>BE86-BH86</f>
        <v>0</v>
      </c>
      <c r="BJ86" s="63">
        <f>AP86+SUM(AQ86:BB86)-BC86+BI86</f>
        <v>0</v>
      </c>
      <c r="BK86" s="40">
        <f>AL86+BJ86</f>
        <v>-73519.4582181564037</v>
      </c>
      <c r="BL86" s="40">
        <f aca="1">BK86/(1+Param.Inflationsrate)^(A86-Param.Startjahr)</f>
        <v>-9948.76565821011536</v>
      </c>
      <c r="BM86" s="52">
        <f>IF(BK86&lt;N86,A86,"")</f>
        <v>2107</v>
      </c>
      <c r="BN86" s="40">
        <f>AH86+BC86</f>
        <v>0</v>
      </c>
      <c r="BO86" s="40">
        <f>SUM(AR86:BB86)</f>
        <v>0</v>
      </c>
      <c r="BP86" s="40">
        <f>BN86+(-1*BO86)</f>
        <v>0</v>
      </c>
      <c r="BQ86" s="40">
        <f>AI86+BH86</f>
        <v>0</v>
      </c>
      <c r="BR86" s="5">
        <f>IF(BK86&gt;0,BP86/BK86,0)</f>
        <v>0</v>
      </c>
    </row>
    <row r="87" spans="1:70">
      <c r="A87">
        <f>A86+1</f>
        <v>2108</v>
      </c>
      <c r="B87">
        <f>B29+(59-1)</f>
        <v>112</v>
      </c>
      <c r="C87" s="10">
        <f aca="1">IF(A87&lt;Param.FireStartjahr,0,Param.EntnahmeBetragStart*(1+Param.Inflationsrate)^(A87-Param.Startjahr))</f>
        <v>227236.565607781813</v>
      </c>
      <c r="D87" s="40">
        <f aca="1">IF(OR($A87&lt;Param.SonstigRegelmJahrBeginn1,$A87&gt;Param.SonstigRegelmJahrEnd1),0,Param.SonstigRegelmBetragJaehrl1*(1+Param.SonstigRegelmSteig1)^(A87-Param.SonstigRegelmJahrBeginn1))</f>
        <v>28166.5934501513402</v>
      </c>
      <c r="E87" s="40">
        <f aca="1">IF(OR($A87&lt;Param.SonstigRegelmJahrBeginn2,$A87&gt;Param.SonstigRegelmJahrEnd2),0,Param.SonstigRegelmBetragJaehrl2*(1+Param.SonstigRegelmSteig2)^($A87-Param.SonstigRegelmJahrBeginn2))</f>
        <v>0</v>
      </c>
      <c r="F87" s="40">
        <f aca="1">IF(OR($A87&lt;Param.SonstigRegelmJahrBeginn3,$A87&gt;Param.SonstigRegelmJahrEnd3),0,Param.SonstigRegelmBetragJaehrl3*(1+Param.SonstigRegelmSteig3)^($A87-Param.SonstigRegelmJahrBeginn3))</f>
        <v>0</v>
      </c>
      <c r="G87" s="40">
        <f aca="1">IF(OR($A87&lt;Param.SonstigRegelmJahrBeginn4,$A87&gt;Param.SonstigRegelmJahrEnd4),0,Param.SonstigRegelmBetragJaehrl4*(1+Param.SonstigRegelmSteig4)^($A87-Param.SonstigRegelmJahrBeginn4))</f>
        <v>0</v>
      </c>
      <c r="H87" s="40">
        <f aca="1">IF(OR($A87&lt;Param.SonstigRegelmJahrBeginn5,$A87&gt;Param.SonstigRegelmJahrEnd5),0,Param.SonstigRegelmBetragJaehrl5*(1+Param.SonstigRegelmSteig5)^($A87-Param.SonstigRegelmJahrBeginn5))</f>
        <v>0</v>
      </c>
      <c r="I87" s="40">
        <f aca="1">IF(OR($A87&lt;Param.SonstigRegelmJahrBeginn6,$A87&gt;Param.SonstigRegelmJahrEnd6),0,Param.SonstigRegelmBetragJaehrl6*(1+Param.SonstigRegelmSteig6)^($A87-Param.SonstigRegelmJahrBeginn6))</f>
        <v>0</v>
      </c>
      <c r="J87" s="40">
        <f aca="1">IF(OR($A87&lt;Param.SonstigRegelmJahrBeginn7,$A87&gt;Param.SonstigRegelmJahrEnd7),0,Param.SonstigRegelmBetragJaehrl7*(1+Param.SonstigRegelmSteig7)^($A87-Param.SonstigRegelmJahrBeginn7))</f>
        <v>0</v>
      </c>
      <c r="K87" s="40">
        <f aca="1">IF(OR($A87&lt;Param.SonstigRegelmJahrBeginn8,$A87&gt;Param.SonstigRegelmJahrEnd8),0,Param.SonstigRegelmBetragJaehrl8*(1+Param.SonstigRegelmSteig8)^($A87-Param.SonstigRegelmJahrBeginn8))</f>
        <v>0</v>
      </c>
      <c r="L87" s="40">
        <f aca="1">IF(OR($A87&lt;Param.SonstigRegelmJahrBeginn9,$A87&gt;Param.SonstigRegelmJahrEnd9),0,Param.SonstigRegelmBetragJaehrl9*(1+Param.SonstigRegelmSteig9)^($A87-Param.SonstigRegelmJahrBeginn9))</f>
        <v>0</v>
      </c>
      <c r="M87" s="40">
        <f aca="1">IF(OR($A87&lt;Param.SonstigRegelmJahrBeginn10,$A87&gt;Param.SonstigRegelmJahrEnd10),0,Param.SonstigRegelmBetragJaehrl10*(1+Param.SonstigRegelmSteig10)^($A87-Param.SonstigRegelmJahrBeginn10))</f>
        <v>0</v>
      </c>
      <c r="N87" s="10">
        <f>MAX(0,C87-SUM(D87:M87))</f>
        <v>199069.972157630691</v>
      </c>
      <c r="O87" s="10">
        <f>IF(N87&lt;=0,SUM(D87:M87)-C87,0)</f>
        <v>0</v>
      </c>
      <c r="P87" s="10">
        <f>S87+AP87</f>
        <v>-73519.4582181564037</v>
      </c>
      <c r="Q87" s="11">
        <f>IF(P87&gt;0,S87/P87,0)</f>
        <v>0</v>
      </c>
      <c r="R87" s="11">
        <f>IF(P87&gt;0,AP87/P87,0)</f>
        <v>0</v>
      </c>
      <c r="S87" s="10">
        <f>AL86</f>
        <v>-73519.4582181563892</v>
      </c>
      <c r="T87" s="40">
        <f>AM86</f>
        <v>-72964.3302706245013</v>
      </c>
      <c r="U87" s="40">
        <f aca="1">IF(A87&lt;Param.FireStartjahr,Param.SparrateDepotMonatl*12*(1+Param.SparrateDynamikJaehrl)^($A87-Param.Startjahr),0)</f>
        <v>0</v>
      </c>
      <c r="V87" s="40">
        <f aca="1">IF(AND(Param.SonstigEinmaligKonto1="Depot",$A87=Param.SonstigEinmaligJahr1),Param.SonstigEinmaligBetrag1,0)</f>
        <v>0</v>
      </c>
      <c r="W87" s="40">
        <f aca="1">IF(AND(Param.SonstigEinmaligKonto2="Depot",$A87=Param.SonstigEinmaligJahr2),Param.SonstigEinmaligBetrag2,0)</f>
        <v>0</v>
      </c>
      <c r="X87" s="40">
        <f aca="1">IF(AND(Param.SonstigEinmaligKonto3="Depot",$A87=Param.SonstigEinmaligJahr3),Param.SonstigEinmaligBetrag3,0)</f>
        <v>0</v>
      </c>
      <c r="Y87" s="40">
        <f aca="1">IF(AND(Param.SonstigEinmaligKonto4="Depot",$A87=Param.SonstigEinmaligJahr4),Param.SonstigEinmaligBetrag4,0)</f>
        <v>0</v>
      </c>
      <c r="Z87" s="40">
        <f aca="1">IF(AND(Param.SonstigEinmaligKonto5="Depot",$A87=Param.SonstigEinmaligJahr5),Param.SonstigEinmaligBetrag5,0)</f>
        <v>0</v>
      </c>
      <c r="AA87" s="40">
        <f aca="1">IF(AND(Param.SonstigEinmaligKonto6="Depot",$A87=Param.SonstigEinmaligJahr6),Param.SonstigEinmaligBetrag6,0)</f>
        <v>0</v>
      </c>
      <c r="AB87" s="40">
        <f aca="1">IF(AND(Param.SonstigEinmaligKonto7="Depot",$A87=Param.SonstigEinmaligJahr7),Param.SonstigEinmaligBetrag7,0)</f>
        <v>0</v>
      </c>
      <c r="AC87" s="40">
        <f aca="1">IF(AND(Param.SonstigEinmaligKonto8="Depot",$A87=Param.SonstigEinmaligJahr8),Param.SonstigEinmaligBetrag8,0)</f>
        <v>0</v>
      </c>
      <c r="AD87" s="40">
        <f aca="1">IF(AND(Param.SonstigEinmaligKonto9="Depot",$A87=Param.SonstigEinmaligJahr9),Param.SonstigEinmaligBetrag9,0)</f>
        <v>0</v>
      </c>
      <c r="AE87" s="40">
        <f aca="1">IF(AND(Param.SonstigEinmaligKonto10="Depot",$A87=Param.SonstigEinmaligJahr10),Param.SonstigEinmaligBetrag10,0)</f>
        <v>0</v>
      </c>
      <c r="AF87" s="40">
        <f aca="1">Param.SparerPauschbetrag-BF87</f>
        <v>1000</v>
      </c>
      <c r="AG87" s="40">
        <f aca="1">IF(AND(A87&gt;=Param.FireStartjahr,S87&gt;0),MIN(N87*Q87,S87),0)</f>
        <v>0</v>
      </c>
      <c r="AH87" s="40">
        <f aca="1">IF(AG87&lt;=0,0,IF(S87&lt;=0,0,AG87/(1-MAX(0,((T87/S87)*(1-Param.Teilfreistellung)-MIN(AF87,AG87)/AG87)*Param.KapSt))))</f>
        <v>0</v>
      </c>
      <c r="AI87" s="40">
        <f>AH87-AG87</f>
        <v>0</v>
      </c>
      <c r="AJ87" s="40">
        <f>T87-AH87*(T87/S87)</f>
        <v>-72964.3302706245013</v>
      </c>
      <c r="AK87" s="40">
        <f>S87-AH87</f>
        <v>-73519.4582181564037</v>
      </c>
      <c r="AL87" s="40">
        <f>FV(AO87,12,-(U87/12),-AK87,0)</f>
        <v>-77930.6257112429012</v>
      </c>
      <c r="AM87" s="40">
        <f>AJ87+AL87-AK87-U87</f>
        <v>-77375.4977637106058</v>
      </c>
      <c r="AN87" s="5">
        <f>AM87/AL87</f>
        <v>0.992876639415302265</v>
      </c>
      <c r="AO87" s="5">
        <f aca="1">(1+IF(AND(A87&gt;=Param.DepotRenditeSpezBeginn1,A87&lt;=Param.DepotRenditeSpezEnde1),Param.DepotRenditeSpezProz1,IF(AND(A87&gt;=Param.DepotRenditeSpezBeginn2,A87&lt;=Param.DepotRenditeSpezEnde2),Param.DepotRenditeSpezProz2,IF(AND(A87&gt;=Param.DepotRenditeSpezBeginn3,A87&lt;=Param.DepotRenditeSpezEnde3),Param.DepotRenditeSpezProz3,IF(AND(A87&gt;=Param.DepotRenditeSpezBeginn4,A87&lt;=Param.DepotRenditeSpezEnde4),Param.DepotRenditeSpezProz4,IF(AND(A87&gt;=Param.DepotRenditeSpezBeginn5,A87&lt;=Param.DepotRenditeSpezEnde5),Param.DepotRenditeSpezProz5,Param.DepotRenditeDefault))))))^(1/12)-1</f>
        <v>0.00486755056533993979</v>
      </c>
      <c r="AP87" s="40">
        <f>BJ86</f>
        <v>0</v>
      </c>
      <c r="AQ87" s="40">
        <f aca="1">IF(A87&lt;Param.FireStartjahr,Param.SparrateFestgeldMonatl*12*(1+Param.SparrateDynamikJaehrl)^($A87-Param.Startjahr),0)</f>
        <v>0</v>
      </c>
      <c r="AR87" s="40">
        <f>O87</f>
        <v>0</v>
      </c>
      <c r="AS87" s="40">
        <f aca="1">IF(AND(Param.SonstigEinmaligKonto1="Festgeld",$A87=Param.SonstigEinmaligJahr1),Param.SonstigEinmaligBetrag1,0)</f>
        <v>0</v>
      </c>
      <c r="AT87" s="40">
        <f aca="1">IF(AND(Param.SonstigEinmaligKonto2="Festgeld",$A87=Param.SonstigEinmaligJahr2),Param.SonstigEinmaligBetrag2,0)</f>
        <v>0</v>
      </c>
      <c r="AU87" s="40">
        <f aca="1">IF(AND(Param.SonstigEinmaligKonto3="Festgeld",$A87=Param.SonstigEinmaligJahr3),Param.SonstigEinmaligBetrag3,0)</f>
        <v>0</v>
      </c>
      <c r="AV87" s="40">
        <f aca="1">IF(AND(Param.SonstigEinmaligKonto4="Festgeld",$A87=Param.SonstigEinmaligJahr4),Param.SonstigEinmaligBetrag4,0)</f>
        <v>0</v>
      </c>
      <c r="AW87" s="40">
        <f aca="1">IF(AND(Param.SonstigEinmaligKonto5="Festgeld",$A87=Param.SonstigEinmaligJahr5),Param.SonstigEinmaligBetrag5,0)</f>
        <v>0</v>
      </c>
      <c r="AX87" s="40">
        <f aca="1">IF(AND(Param.SonstigEinmaligKonto6="Festgeld",$A87=Param.SonstigEinmaligJahr6),Param.SonstigEinmaligBetrag6,0)</f>
        <v>0</v>
      </c>
      <c r="AY87" s="40">
        <f aca="1">IF(AND(Param.SonstigEinmaligKonto7="Festgeld",$A87=Param.SonstigEinmaligJahr7),Param.SonstigEinmaligBetrag7,0)</f>
        <v>0</v>
      </c>
      <c r="AZ87" s="40">
        <f aca="1">IF(AND(Param.SonstigEinmaligKonto8="Festgeld",$A87=Param.SonstigEinmaligJahr8),Param.SonstigEinmaligBetrag8,0)</f>
        <v>0</v>
      </c>
      <c r="BA87" s="40">
        <f aca="1">IF(AND(Param.SonstigEinmaligKonto9="Festgeld",$A87=Param.SonstigEinmaligJahr9),Param.SonstigEinmaligBetrag9,0)</f>
        <v>0</v>
      </c>
      <c r="BB87" s="40">
        <f aca="1">IF(AND(Param.SonstigEinmaligKonto10="Festgeld",$A87=Param.SonstigEinmaligJahr10),Param.SonstigEinmaligBetrag10,0)</f>
        <v>0</v>
      </c>
      <c r="BC87" s="40">
        <f aca="1">IF(AND(A87&gt;=Param.FireStartjahr,AP87&gt;0),MIN(N87*R87,AP87),0)</f>
        <v>0</v>
      </c>
      <c r="BD87" s="5">
        <f aca="1">Param.FestgeldZinssatz</f>
        <v>0.02</v>
      </c>
      <c r="BE87" s="40">
        <f>(AP87+AQ87-BC87)*BD87</f>
        <v>0</v>
      </c>
      <c r="BF87" s="40">
        <f aca="1">IF(BE87&gt;Param.SparerPauschbetrag,Param.SparerPauschbetrag,BE87)</f>
        <v>0</v>
      </c>
      <c r="BG87" s="40">
        <f>BE87-BF87</f>
        <v>0</v>
      </c>
      <c r="BH87" s="40">
        <f aca="1">BG87*Param.KapSt</f>
        <v>0</v>
      </c>
      <c r="BI87" s="40">
        <f>BE87-BH87</f>
        <v>0</v>
      </c>
      <c r="BJ87" s="63">
        <f>AP87+SUM(AQ87:BB87)-BC87+BI87</f>
        <v>0</v>
      </c>
      <c r="BK87" s="40">
        <f>AL87+BJ87</f>
        <v>-77930.6257112429012</v>
      </c>
      <c r="BL87" s="40">
        <f aca="1">BK87/(1+Param.Inflationsrate)^(A87-Param.Startjahr)</f>
        <v>-10288.4796075144695</v>
      </c>
      <c r="BM87" s="52">
        <f>IF(BK87&lt;N87,A87,"")</f>
        <v>2108</v>
      </c>
      <c r="BN87" s="40">
        <f>AH87+BC87</f>
        <v>0</v>
      </c>
      <c r="BO87" s="40">
        <f>SUM(AR87:BB87)</f>
        <v>0</v>
      </c>
      <c r="BP87" s="40">
        <f>BN87+(-1*BO87)</f>
        <v>0</v>
      </c>
      <c r="BQ87" s="40">
        <f>AI87+BH87</f>
        <v>0</v>
      </c>
      <c r="BR87" s="5">
        <f>IF(BK87&gt;0,BP87/BK87,0)</f>
        <v>0</v>
      </c>
    </row>
    <row r="88" spans="1:70">
      <c r="A88">
        <f>A87+1</f>
        <v>2109</v>
      </c>
      <c r="B88">
        <f>B30+(59-1)</f>
        <v>113</v>
      </c>
      <c r="C88" s="10">
        <f aca="1">IF(A88&lt;Param.FireStartjahr,0,Param.EntnahmeBetragStart*(1+Param.Inflationsrate)^(A88-Param.Startjahr))</f>
        <v>232917.479747976293</v>
      </c>
      <c r="D88" s="40">
        <f aca="1">IF(OR($A88&lt;Param.SonstigRegelmJahrBeginn1,$A88&gt;Param.SonstigRegelmJahrEnd1),0,Param.SonstigRegelmBetragJaehrl1*(1+Param.SonstigRegelmSteig1)^(A88-Param.SonstigRegelmJahrBeginn1))</f>
        <v>28448.2593846529198</v>
      </c>
      <c r="E88" s="40">
        <f aca="1">IF(OR($A88&lt;Param.SonstigRegelmJahrBeginn2,$A88&gt;Param.SonstigRegelmJahrEnd2),0,Param.SonstigRegelmBetragJaehrl2*(1+Param.SonstigRegelmSteig2)^($A88-Param.SonstigRegelmJahrBeginn2))</f>
        <v>0</v>
      </c>
      <c r="F88" s="40">
        <f aca="1">IF(OR($A88&lt;Param.SonstigRegelmJahrBeginn3,$A88&gt;Param.SonstigRegelmJahrEnd3),0,Param.SonstigRegelmBetragJaehrl3*(1+Param.SonstigRegelmSteig3)^($A88-Param.SonstigRegelmJahrBeginn3))</f>
        <v>0</v>
      </c>
      <c r="G88" s="40">
        <f aca="1">IF(OR($A88&lt;Param.SonstigRegelmJahrBeginn4,$A88&gt;Param.SonstigRegelmJahrEnd4),0,Param.SonstigRegelmBetragJaehrl4*(1+Param.SonstigRegelmSteig4)^($A88-Param.SonstigRegelmJahrBeginn4))</f>
        <v>0</v>
      </c>
      <c r="H88" s="40">
        <f aca="1">IF(OR($A88&lt;Param.SonstigRegelmJahrBeginn5,$A88&gt;Param.SonstigRegelmJahrEnd5),0,Param.SonstigRegelmBetragJaehrl5*(1+Param.SonstigRegelmSteig5)^($A88-Param.SonstigRegelmJahrBeginn5))</f>
        <v>0</v>
      </c>
      <c r="I88" s="40">
        <f aca="1">IF(OR($A88&lt;Param.SonstigRegelmJahrBeginn6,$A88&gt;Param.SonstigRegelmJahrEnd6),0,Param.SonstigRegelmBetragJaehrl6*(1+Param.SonstigRegelmSteig6)^($A88-Param.SonstigRegelmJahrBeginn6))</f>
        <v>0</v>
      </c>
      <c r="J88" s="40">
        <f aca="1">IF(OR($A88&lt;Param.SonstigRegelmJahrBeginn7,$A88&gt;Param.SonstigRegelmJahrEnd7),0,Param.SonstigRegelmBetragJaehrl7*(1+Param.SonstigRegelmSteig7)^($A88-Param.SonstigRegelmJahrBeginn7))</f>
        <v>0</v>
      </c>
      <c r="K88" s="40">
        <f aca="1">IF(OR($A88&lt;Param.SonstigRegelmJahrBeginn8,$A88&gt;Param.SonstigRegelmJahrEnd8),0,Param.SonstigRegelmBetragJaehrl8*(1+Param.SonstigRegelmSteig8)^($A88-Param.SonstigRegelmJahrBeginn8))</f>
        <v>0</v>
      </c>
      <c r="L88" s="40">
        <f aca="1">IF(OR($A88&lt;Param.SonstigRegelmJahrBeginn9,$A88&gt;Param.SonstigRegelmJahrEnd9),0,Param.SonstigRegelmBetragJaehrl9*(1+Param.SonstigRegelmSteig9)^($A88-Param.SonstigRegelmJahrBeginn9))</f>
        <v>0</v>
      </c>
      <c r="M88" s="40">
        <f aca="1">IF(OR($A88&lt;Param.SonstigRegelmJahrBeginn10,$A88&gt;Param.SonstigRegelmJahrEnd10),0,Param.SonstigRegelmBetragJaehrl10*(1+Param.SonstigRegelmSteig10)^($A88-Param.SonstigRegelmJahrBeginn10))</f>
        <v>0</v>
      </c>
      <c r="N88" s="10">
        <f>MAX(0,C88-SUM(D88:M88))</f>
        <v>204469.220363323111</v>
      </c>
      <c r="O88" s="10">
        <f>IF(N88&lt;=0,SUM(D88:M88)-C88,0)</f>
        <v>0</v>
      </c>
      <c r="P88" s="10">
        <f>S88+AP88</f>
        <v>-77930.6257112429012</v>
      </c>
      <c r="Q88" s="11">
        <f>IF(P88&gt;0,S88/P88,0)</f>
        <v>0</v>
      </c>
      <c r="R88" s="11">
        <f>IF(P88&gt;0,AP88/P88,0)</f>
        <v>0</v>
      </c>
      <c r="S88" s="10">
        <f>AL87</f>
        <v>-77930.6257112429012</v>
      </c>
      <c r="T88" s="40">
        <f>AM87</f>
        <v>-77375.4977637106058</v>
      </c>
      <c r="U88" s="40">
        <f aca="1">IF(A88&lt;Param.FireStartjahr,Param.SparrateDepotMonatl*12*(1+Param.SparrateDynamikJaehrl)^($A88-Param.Startjahr),0)</f>
        <v>0</v>
      </c>
      <c r="V88" s="40">
        <f aca="1">IF(AND(Param.SonstigEinmaligKonto1="Depot",$A88=Param.SonstigEinmaligJahr1),Param.SonstigEinmaligBetrag1,0)</f>
        <v>0</v>
      </c>
      <c r="W88" s="40">
        <f aca="1">IF(AND(Param.SonstigEinmaligKonto2="Depot",$A88=Param.SonstigEinmaligJahr2),Param.SonstigEinmaligBetrag2,0)</f>
        <v>0</v>
      </c>
      <c r="X88" s="40">
        <f aca="1">IF(AND(Param.SonstigEinmaligKonto3="Depot",$A88=Param.SonstigEinmaligJahr3),Param.SonstigEinmaligBetrag3,0)</f>
        <v>0</v>
      </c>
      <c r="Y88" s="40">
        <f aca="1">IF(AND(Param.SonstigEinmaligKonto4="Depot",$A88=Param.SonstigEinmaligJahr4),Param.SonstigEinmaligBetrag4,0)</f>
        <v>0</v>
      </c>
      <c r="Z88" s="40">
        <f aca="1">IF(AND(Param.SonstigEinmaligKonto5="Depot",$A88=Param.SonstigEinmaligJahr5),Param.SonstigEinmaligBetrag5,0)</f>
        <v>0</v>
      </c>
      <c r="AA88" s="40">
        <f aca="1">IF(AND(Param.SonstigEinmaligKonto6="Depot",$A88=Param.SonstigEinmaligJahr6),Param.SonstigEinmaligBetrag6,0)</f>
        <v>0</v>
      </c>
      <c r="AB88" s="40">
        <f aca="1">IF(AND(Param.SonstigEinmaligKonto7="Depot",$A88=Param.SonstigEinmaligJahr7),Param.SonstigEinmaligBetrag7,0)</f>
        <v>0</v>
      </c>
      <c r="AC88" s="40">
        <f aca="1">IF(AND(Param.SonstigEinmaligKonto8="Depot",$A88=Param.SonstigEinmaligJahr8),Param.SonstigEinmaligBetrag8,0)</f>
        <v>0</v>
      </c>
      <c r="AD88" s="40">
        <f aca="1">IF(AND(Param.SonstigEinmaligKonto9="Depot",$A88=Param.SonstigEinmaligJahr9),Param.SonstigEinmaligBetrag9,0)</f>
        <v>0</v>
      </c>
      <c r="AE88" s="40">
        <f aca="1">IF(AND(Param.SonstigEinmaligKonto10="Depot",$A88=Param.SonstigEinmaligJahr10),Param.SonstigEinmaligBetrag10,0)</f>
        <v>0</v>
      </c>
      <c r="AF88" s="40">
        <f aca="1">Param.SparerPauschbetrag-BF88</f>
        <v>1000</v>
      </c>
      <c r="AG88" s="40">
        <f aca="1">IF(AND(A88&gt;=Param.FireStartjahr,S88&gt;0),MIN(N88*Q88,S88),0)</f>
        <v>0</v>
      </c>
      <c r="AH88" s="40">
        <f aca="1">IF(AG88&lt;=0,0,IF(S88&lt;=0,0,AG88/(1-MAX(0,((T88/S88)*(1-Param.Teilfreistellung)-MIN(AF88,AG88)/AG88)*Param.KapSt))))</f>
        <v>0</v>
      </c>
      <c r="AI88" s="40">
        <f>AH88-AG88</f>
        <v>0</v>
      </c>
      <c r="AJ88" s="40">
        <f>T88-AH88*(T88/S88)</f>
        <v>-77375.4977637106058</v>
      </c>
      <c r="AK88" s="40">
        <f>S88-AH88</f>
        <v>-77930.6257112429012</v>
      </c>
      <c r="AL88" s="40">
        <f>FV(AO88,12,-(U88/12),-AK88,0)</f>
        <v>-82606.4632539144222</v>
      </c>
      <c r="AM88" s="40">
        <f>AJ88+AL88-AK88-U88</f>
        <v>-82051.3353063820978</v>
      </c>
      <c r="AN88" s="5">
        <f>AM88/AL88</f>
        <v>0.993279848505001972</v>
      </c>
      <c r="AO88" s="5">
        <f aca="1">(1+IF(AND(A88&gt;=Param.DepotRenditeSpezBeginn1,A88&lt;=Param.DepotRenditeSpezEnde1),Param.DepotRenditeSpezProz1,IF(AND(A88&gt;=Param.DepotRenditeSpezBeginn2,A88&lt;=Param.DepotRenditeSpezEnde2),Param.DepotRenditeSpezProz2,IF(AND(A88&gt;=Param.DepotRenditeSpezBeginn3,A88&lt;=Param.DepotRenditeSpezEnde3),Param.DepotRenditeSpezProz3,IF(AND(A88&gt;=Param.DepotRenditeSpezBeginn4,A88&lt;=Param.DepotRenditeSpezEnde4),Param.DepotRenditeSpezProz4,IF(AND(A88&gt;=Param.DepotRenditeSpezBeginn5,A88&lt;=Param.DepotRenditeSpezEnde5),Param.DepotRenditeSpezProz5,Param.DepotRenditeDefault))))))^(1/12)-1</f>
        <v>0.00486755056533993979</v>
      </c>
      <c r="AP88" s="40">
        <f>BJ87</f>
        <v>0</v>
      </c>
      <c r="AQ88" s="40">
        <f aca="1">IF(A88&lt;Param.FireStartjahr,Param.SparrateFestgeldMonatl*12*(1+Param.SparrateDynamikJaehrl)^($A88-Param.Startjahr),0)</f>
        <v>0</v>
      </c>
      <c r="AR88" s="40">
        <f>O88</f>
        <v>0</v>
      </c>
      <c r="AS88" s="40">
        <f aca="1">IF(AND(Param.SonstigEinmaligKonto1="Festgeld",$A88=Param.SonstigEinmaligJahr1),Param.SonstigEinmaligBetrag1,0)</f>
        <v>0</v>
      </c>
      <c r="AT88" s="40">
        <f aca="1">IF(AND(Param.SonstigEinmaligKonto2="Festgeld",$A88=Param.SonstigEinmaligJahr2),Param.SonstigEinmaligBetrag2,0)</f>
        <v>0</v>
      </c>
      <c r="AU88" s="40">
        <f aca="1">IF(AND(Param.SonstigEinmaligKonto3="Festgeld",$A88=Param.SonstigEinmaligJahr3),Param.SonstigEinmaligBetrag3,0)</f>
        <v>0</v>
      </c>
      <c r="AV88" s="40">
        <f aca="1">IF(AND(Param.SonstigEinmaligKonto4="Festgeld",$A88=Param.SonstigEinmaligJahr4),Param.SonstigEinmaligBetrag4,0)</f>
        <v>0</v>
      </c>
      <c r="AW88" s="40">
        <f aca="1">IF(AND(Param.SonstigEinmaligKonto5="Festgeld",$A88=Param.SonstigEinmaligJahr5),Param.SonstigEinmaligBetrag5,0)</f>
        <v>0</v>
      </c>
      <c r="AX88" s="40">
        <f aca="1">IF(AND(Param.SonstigEinmaligKonto6="Festgeld",$A88=Param.SonstigEinmaligJahr6),Param.SonstigEinmaligBetrag6,0)</f>
        <v>0</v>
      </c>
      <c r="AY88" s="40">
        <f aca="1">IF(AND(Param.SonstigEinmaligKonto7="Festgeld",$A88=Param.SonstigEinmaligJahr7),Param.SonstigEinmaligBetrag7,0)</f>
        <v>0</v>
      </c>
      <c r="AZ88" s="40">
        <f aca="1">IF(AND(Param.SonstigEinmaligKonto8="Festgeld",$A88=Param.SonstigEinmaligJahr8),Param.SonstigEinmaligBetrag8,0)</f>
        <v>0</v>
      </c>
      <c r="BA88" s="40">
        <f aca="1">IF(AND(Param.SonstigEinmaligKonto9="Festgeld",$A88=Param.SonstigEinmaligJahr9),Param.SonstigEinmaligBetrag9,0)</f>
        <v>0</v>
      </c>
      <c r="BB88" s="40">
        <f aca="1">IF(AND(Param.SonstigEinmaligKonto10="Festgeld",$A88=Param.SonstigEinmaligJahr10),Param.SonstigEinmaligBetrag10,0)</f>
        <v>0</v>
      </c>
      <c r="BC88" s="40">
        <f aca="1">IF(AND(A88&gt;=Param.FireStartjahr,AP88&gt;0),MIN(N88*R88,AP88),0)</f>
        <v>0</v>
      </c>
      <c r="BD88" s="5">
        <f aca="1">Param.FestgeldZinssatz</f>
        <v>0.02</v>
      </c>
      <c r="BE88" s="40">
        <f>(AP88+AQ88-BC88)*BD88</f>
        <v>0</v>
      </c>
      <c r="BF88" s="40">
        <f aca="1">IF(BE88&gt;Param.SparerPauschbetrag,Param.SparerPauschbetrag,BE88)</f>
        <v>0</v>
      </c>
      <c r="BG88" s="40">
        <f>BE88-BF88</f>
        <v>0</v>
      </c>
      <c r="BH88" s="40">
        <f aca="1">BG88*Param.KapSt</f>
        <v>0</v>
      </c>
      <c r="BI88" s="40">
        <f>BE88-BH88</f>
        <v>0</v>
      </c>
      <c r="BJ88" s="63">
        <f>AP88+SUM(AQ88:BB88)-BC88+BI88</f>
        <v>0</v>
      </c>
      <c r="BK88" s="40">
        <f>AL88+BJ88</f>
        <v>-82606.4632539143931</v>
      </c>
      <c r="BL88" s="40">
        <f aca="1">BK88/(1+Param.Inflationsrate)^(A88-Param.Startjahr)</f>
        <v>-10639.7935453316422</v>
      </c>
      <c r="BM88" s="52">
        <f>IF(BK88&lt;N88,A88,"")</f>
        <v>2109</v>
      </c>
      <c r="BN88" s="40">
        <f>AH88+BC88</f>
        <v>0</v>
      </c>
      <c r="BO88" s="40">
        <f>SUM(AR88:BB88)</f>
        <v>0</v>
      </c>
      <c r="BP88" s="40">
        <f>BN88+(-1*BO88)</f>
        <v>0</v>
      </c>
      <c r="BQ88" s="40">
        <f>AI88+BH88</f>
        <v>0</v>
      </c>
      <c r="BR88" s="5">
        <f>IF(BK88&gt;0,BP88/BK88,0)</f>
        <v>0</v>
      </c>
    </row>
    <row r="89" spans="1:70">
      <c r="A89">
        <f>A88+1</f>
        <v>2110</v>
      </c>
      <c r="B89">
        <f>B31+(59-1)</f>
        <v>114</v>
      </c>
      <c r="C89" s="10">
        <f aca="1">IF(A89&lt;Param.FireStartjahr,0,Param.EntnahmeBetragStart*(1+Param.Inflationsrate)^(A89-Param.Startjahr))</f>
        <v>238740.416741675697</v>
      </c>
      <c r="D89" s="40">
        <f aca="1">IF(OR($A89&lt;Param.SonstigRegelmJahrBeginn1,$A89&gt;Param.SonstigRegelmJahrEnd1),0,Param.SonstigRegelmBetragJaehrl1*(1+Param.SonstigRegelmSteig1)^(A89-Param.SonstigRegelmJahrBeginn1))</f>
        <v>28732.7419784994599</v>
      </c>
      <c r="E89" s="40">
        <f aca="1">IF(OR($A89&lt;Param.SonstigRegelmJahrBeginn2,$A89&gt;Param.SonstigRegelmJahrEnd2),0,Param.SonstigRegelmBetragJaehrl2*(1+Param.SonstigRegelmSteig2)^($A89-Param.SonstigRegelmJahrBeginn2))</f>
        <v>0</v>
      </c>
      <c r="F89" s="40">
        <f aca="1">IF(OR($A89&lt;Param.SonstigRegelmJahrBeginn3,$A89&gt;Param.SonstigRegelmJahrEnd3),0,Param.SonstigRegelmBetragJaehrl3*(1+Param.SonstigRegelmSteig3)^($A89-Param.SonstigRegelmJahrBeginn3))</f>
        <v>0</v>
      </c>
      <c r="G89" s="40">
        <f aca="1">IF(OR($A89&lt;Param.SonstigRegelmJahrBeginn4,$A89&gt;Param.SonstigRegelmJahrEnd4),0,Param.SonstigRegelmBetragJaehrl4*(1+Param.SonstigRegelmSteig4)^($A89-Param.SonstigRegelmJahrBeginn4))</f>
        <v>0</v>
      </c>
      <c r="H89" s="40">
        <f aca="1">IF(OR($A89&lt;Param.SonstigRegelmJahrBeginn5,$A89&gt;Param.SonstigRegelmJahrEnd5),0,Param.SonstigRegelmBetragJaehrl5*(1+Param.SonstigRegelmSteig5)^($A89-Param.SonstigRegelmJahrBeginn5))</f>
        <v>0</v>
      </c>
      <c r="I89" s="40">
        <f aca="1">IF(OR($A89&lt;Param.SonstigRegelmJahrBeginn6,$A89&gt;Param.SonstigRegelmJahrEnd6),0,Param.SonstigRegelmBetragJaehrl6*(1+Param.SonstigRegelmSteig6)^($A89-Param.SonstigRegelmJahrBeginn6))</f>
        <v>0</v>
      </c>
      <c r="J89" s="40">
        <f aca="1">IF(OR($A89&lt;Param.SonstigRegelmJahrBeginn7,$A89&gt;Param.SonstigRegelmJahrEnd7),0,Param.SonstigRegelmBetragJaehrl7*(1+Param.SonstigRegelmSteig7)^($A89-Param.SonstigRegelmJahrBeginn7))</f>
        <v>0</v>
      </c>
      <c r="K89" s="40">
        <f aca="1">IF(OR($A89&lt;Param.SonstigRegelmJahrBeginn8,$A89&gt;Param.SonstigRegelmJahrEnd8),0,Param.SonstigRegelmBetragJaehrl8*(1+Param.SonstigRegelmSteig8)^($A89-Param.SonstigRegelmJahrBeginn8))</f>
        <v>0</v>
      </c>
      <c r="L89" s="40">
        <f aca="1">IF(OR($A89&lt;Param.SonstigRegelmJahrBeginn9,$A89&gt;Param.SonstigRegelmJahrEnd9),0,Param.SonstigRegelmBetragJaehrl9*(1+Param.SonstigRegelmSteig9)^($A89-Param.SonstigRegelmJahrBeginn9))</f>
        <v>0</v>
      </c>
      <c r="M89" s="40">
        <f aca="1">IF(OR($A89&lt;Param.SonstigRegelmJahrBeginn10,$A89&gt;Param.SonstigRegelmJahrEnd10),0,Param.SonstigRegelmBetragJaehrl10*(1+Param.SonstigRegelmSteig10)^($A89-Param.SonstigRegelmJahrBeginn10))</f>
        <v>0</v>
      </c>
      <c r="N89" s="10">
        <f>MAX(0,C89-SUM(D89:M89))</f>
        <v>210007.674763176474</v>
      </c>
      <c r="O89" s="10">
        <f>IF(N89&lt;=0,SUM(D89:M89)-C89,0)</f>
        <v>0</v>
      </c>
      <c r="P89" s="10">
        <f>S89+AP89</f>
        <v>-82606.4632539143931</v>
      </c>
      <c r="Q89" s="11">
        <f>IF(P89&gt;0,S89/P89,0)</f>
        <v>0</v>
      </c>
      <c r="R89" s="11">
        <f>IF(P89&gt;0,AP89/P89,0)</f>
        <v>0</v>
      </c>
      <c r="S89" s="10">
        <f>AL88</f>
        <v>-82606.4632539144222</v>
      </c>
      <c r="T89" s="40">
        <f>AM88</f>
        <v>-82051.3353063820978</v>
      </c>
      <c r="U89" s="40">
        <f aca="1">IF(A89&lt;Param.FireStartjahr,Param.SparrateDepotMonatl*12*(1+Param.SparrateDynamikJaehrl)^($A89-Param.Startjahr),0)</f>
        <v>0</v>
      </c>
      <c r="V89" s="40">
        <f aca="1">IF(AND(Param.SonstigEinmaligKonto1="Depot",$A89=Param.SonstigEinmaligJahr1),Param.SonstigEinmaligBetrag1,0)</f>
        <v>0</v>
      </c>
      <c r="W89" s="40">
        <f aca="1">IF(AND(Param.SonstigEinmaligKonto2="Depot",$A89=Param.SonstigEinmaligJahr2),Param.SonstigEinmaligBetrag2,0)</f>
        <v>0</v>
      </c>
      <c r="X89" s="40">
        <f aca="1">IF(AND(Param.SonstigEinmaligKonto3="Depot",$A89=Param.SonstigEinmaligJahr3),Param.SonstigEinmaligBetrag3,0)</f>
        <v>0</v>
      </c>
      <c r="Y89" s="40">
        <f aca="1">IF(AND(Param.SonstigEinmaligKonto4="Depot",$A89=Param.SonstigEinmaligJahr4),Param.SonstigEinmaligBetrag4,0)</f>
        <v>0</v>
      </c>
      <c r="Z89" s="40">
        <f aca="1">IF(AND(Param.SonstigEinmaligKonto5="Depot",$A89=Param.SonstigEinmaligJahr5),Param.SonstigEinmaligBetrag5,0)</f>
        <v>0</v>
      </c>
      <c r="AA89" s="40">
        <f aca="1">IF(AND(Param.SonstigEinmaligKonto6="Depot",$A89=Param.SonstigEinmaligJahr6),Param.SonstigEinmaligBetrag6,0)</f>
        <v>0</v>
      </c>
      <c r="AB89" s="40">
        <f aca="1">IF(AND(Param.SonstigEinmaligKonto7="Depot",$A89=Param.SonstigEinmaligJahr7),Param.SonstigEinmaligBetrag7,0)</f>
        <v>0</v>
      </c>
      <c r="AC89" s="40">
        <f aca="1">IF(AND(Param.SonstigEinmaligKonto8="Depot",$A89=Param.SonstigEinmaligJahr8),Param.SonstigEinmaligBetrag8,0)</f>
        <v>0</v>
      </c>
      <c r="AD89" s="40">
        <f aca="1">IF(AND(Param.SonstigEinmaligKonto9="Depot",$A89=Param.SonstigEinmaligJahr9),Param.SonstigEinmaligBetrag9,0)</f>
        <v>0</v>
      </c>
      <c r="AE89" s="40">
        <f aca="1">IF(AND(Param.SonstigEinmaligKonto10="Depot",$A89=Param.SonstigEinmaligJahr10),Param.SonstigEinmaligBetrag10,0)</f>
        <v>0</v>
      </c>
      <c r="AF89" s="40">
        <f aca="1">Param.SparerPauschbetrag-BF89</f>
        <v>1000</v>
      </c>
      <c r="AG89" s="40">
        <f aca="1">IF(AND(A89&gt;=Param.FireStartjahr,S89&gt;0),MIN(N89*Q89,S89),0)</f>
        <v>0</v>
      </c>
      <c r="AH89" s="40">
        <f aca="1">IF(AG89&lt;=0,0,IF(S89&lt;=0,0,AG89/(1-MAX(0,((T89/S89)*(1-Param.Teilfreistellung)-MIN(AF89,AG89)/AG89)*Param.KapSt))))</f>
        <v>0</v>
      </c>
      <c r="AI89" s="40">
        <f>AH89-AG89</f>
        <v>0</v>
      </c>
      <c r="AJ89" s="40">
        <f>T89-AH89*(T89/S89)</f>
        <v>-82051.3353063820978</v>
      </c>
      <c r="AK89" s="40">
        <f>S89-AH89</f>
        <v>-82606.4632539143931</v>
      </c>
      <c r="AL89" s="40">
        <f>FV(AO89,12,-(U89/12),-AK89,0)</f>
        <v>-87562.8510491460183</v>
      </c>
      <c r="AM89" s="40">
        <f>AJ89+AL89-AK89-U89</f>
        <v>-87007.7231016136066</v>
      </c>
      <c r="AN89" s="5">
        <f>AM89/AL89</f>
        <v>0.993660234438679701</v>
      </c>
      <c r="AO89" s="5">
        <f aca="1">(1+IF(AND(A89&gt;=Param.DepotRenditeSpezBeginn1,A89&lt;=Param.DepotRenditeSpezEnde1),Param.DepotRenditeSpezProz1,IF(AND(A89&gt;=Param.DepotRenditeSpezBeginn2,A89&lt;=Param.DepotRenditeSpezEnde2),Param.DepotRenditeSpezProz2,IF(AND(A89&gt;=Param.DepotRenditeSpezBeginn3,A89&lt;=Param.DepotRenditeSpezEnde3),Param.DepotRenditeSpezProz3,IF(AND(A89&gt;=Param.DepotRenditeSpezBeginn4,A89&lt;=Param.DepotRenditeSpezEnde4),Param.DepotRenditeSpezProz4,IF(AND(A89&gt;=Param.DepotRenditeSpezBeginn5,A89&lt;=Param.DepotRenditeSpezEnde5),Param.DepotRenditeSpezProz5,Param.DepotRenditeDefault))))))^(1/12)-1</f>
        <v>0.00486755056533993979</v>
      </c>
      <c r="AP89" s="40">
        <f>BJ88</f>
        <v>0</v>
      </c>
      <c r="AQ89" s="40">
        <f aca="1">IF(A89&lt;Param.FireStartjahr,Param.SparrateFestgeldMonatl*12*(1+Param.SparrateDynamikJaehrl)^($A89-Param.Startjahr),0)</f>
        <v>0</v>
      </c>
      <c r="AR89" s="40">
        <f>O89</f>
        <v>0</v>
      </c>
      <c r="AS89" s="40">
        <f aca="1">IF(AND(Param.SonstigEinmaligKonto1="Festgeld",$A89=Param.SonstigEinmaligJahr1),Param.SonstigEinmaligBetrag1,0)</f>
        <v>0</v>
      </c>
      <c r="AT89" s="40">
        <f aca="1">IF(AND(Param.SonstigEinmaligKonto2="Festgeld",$A89=Param.SonstigEinmaligJahr2),Param.SonstigEinmaligBetrag2,0)</f>
        <v>0</v>
      </c>
      <c r="AU89" s="40">
        <f aca="1">IF(AND(Param.SonstigEinmaligKonto3="Festgeld",$A89=Param.SonstigEinmaligJahr3),Param.SonstigEinmaligBetrag3,0)</f>
        <v>0</v>
      </c>
      <c r="AV89" s="40">
        <f aca="1">IF(AND(Param.SonstigEinmaligKonto4="Festgeld",$A89=Param.SonstigEinmaligJahr4),Param.SonstigEinmaligBetrag4,0)</f>
        <v>0</v>
      </c>
      <c r="AW89" s="40">
        <f aca="1">IF(AND(Param.SonstigEinmaligKonto5="Festgeld",$A89=Param.SonstigEinmaligJahr5),Param.SonstigEinmaligBetrag5,0)</f>
        <v>0</v>
      </c>
      <c r="AX89" s="40">
        <f aca="1">IF(AND(Param.SonstigEinmaligKonto6="Festgeld",$A89=Param.SonstigEinmaligJahr6),Param.SonstigEinmaligBetrag6,0)</f>
        <v>0</v>
      </c>
      <c r="AY89" s="40">
        <f aca="1">IF(AND(Param.SonstigEinmaligKonto7="Festgeld",$A89=Param.SonstigEinmaligJahr7),Param.SonstigEinmaligBetrag7,0)</f>
        <v>0</v>
      </c>
      <c r="AZ89" s="40">
        <f aca="1">IF(AND(Param.SonstigEinmaligKonto8="Festgeld",$A89=Param.SonstigEinmaligJahr8),Param.SonstigEinmaligBetrag8,0)</f>
        <v>0</v>
      </c>
      <c r="BA89" s="40">
        <f aca="1">IF(AND(Param.SonstigEinmaligKonto9="Festgeld",$A89=Param.SonstigEinmaligJahr9),Param.SonstigEinmaligBetrag9,0)</f>
        <v>0</v>
      </c>
      <c r="BB89" s="40">
        <f aca="1">IF(AND(Param.SonstigEinmaligKonto10="Festgeld",$A89=Param.SonstigEinmaligJahr10),Param.SonstigEinmaligBetrag10,0)</f>
        <v>0</v>
      </c>
      <c r="BC89" s="40">
        <f aca="1">IF(AND(A89&gt;=Param.FireStartjahr,AP89&gt;0),MIN(N89*R89,AP89),0)</f>
        <v>0</v>
      </c>
      <c r="BD89" s="5">
        <f aca="1">Param.FestgeldZinssatz</f>
        <v>0.02</v>
      </c>
      <c r="BE89" s="40">
        <f>(AP89+AQ89-BC89)*BD89</f>
        <v>0</v>
      </c>
      <c r="BF89" s="40">
        <f aca="1">IF(BE89&gt;Param.SparerPauschbetrag,Param.SparerPauschbetrag,BE89)</f>
        <v>0</v>
      </c>
      <c r="BG89" s="40">
        <f>BE89-BF89</f>
        <v>0</v>
      </c>
      <c r="BH89" s="40">
        <f aca="1">BG89*Param.KapSt</f>
        <v>0</v>
      </c>
      <c r="BI89" s="40">
        <f>BE89-BH89</f>
        <v>0</v>
      </c>
      <c r="BJ89" s="63">
        <f>AP89+SUM(AQ89:BB89)-BC89+BI89</f>
        <v>0</v>
      </c>
      <c r="BK89" s="40">
        <f>AL89+BJ89</f>
        <v>-87562.8510491460038</v>
      </c>
      <c r="BL89" s="40">
        <f aca="1">BK89/(1+Param.Inflationsrate)^(A89-Param.Startjahr)</f>
        <v>-11003.1035688303637</v>
      </c>
      <c r="BM89" s="52">
        <f>IF(BK89&lt;N89,A89,"")</f>
        <v>2110</v>
      </c>
      <c r="BN89" s="40">
        <f>AH89+BC89</f>
        <v>0</v>
      </c>
      <c r="BO89" s="40">
        <f>SUM(AR89:BB89)</f>
        <v>0</v>
      </c>
      <c r="BP89" s="40">
        <f>BN89+(-1*BO89)</f>
        <v>0</v>
      </c>
      <c r="BQ89" s="40">
        <f>AI89+BH89</f>
        <v>0</v>
      </c>
      <c r="BR89" s="5">
        <f>IF(BK89&gt;0,BP89/BK89,0)</f>
        <v>0</v>
      </c>
    </row>
    <row r="90" spans="1:70">
      <c r="A90">
        <f>A89+1</f>
        <v>2111</v>
      </c>
      <c r="B90">
        <f>B32+(59-1)</f>
        <v>115</v>
      </c>
      <c r="C90" s="10">
        <f aca="1">IF(A90&lt;Param.FireStartjahr,0,Param.EntnahmeBetragStart*(1+Param.Inflationsrate)^(A90-Param.Startjahr))</f>
        <v>244708.927160217601</v>
      </c>
      <c r="D90" s="40">
        <f aca="1">IF(OR($A90&lt;Param.SonstigRegelmJahrBeginn1,$A90&gt;Param.SonstigRegelmJahrEnd1),0,Param.SonstigRegelmBetragJaehrl1*(1+Param.SonstigRegelmSteig1)^(A90-Param.SonstigRegelmJahrBeginn1))</f>
        <v>29020.0693982844605</v>
      </c>
      <c r="E90" s="40">
        <f aca="1">IF(OR($A90&lt;Param.SonstigRegelmJahrBeginn2,$A90&gt;Param.SonstigRegelmJahrEnd2),0,Param.SonstigRegelmBetragJaehrl2*(1+Param.SonstigRegelmSteig2)^($A90-Param.SonstigRegelmJahrBeginn2))</f>
        <v>0</v>
      </c>
      <c r="F90" s="40">
        <f aca="1">IF(OR($A90&lt;Param.SonstigRegelmJahrBeginn3,$A90&gt;Param.SonstigRegelmJahrEnd3),0,Param.SonstigRegelmBetragJaehrl3*(1+Param.SonstigRegelmSteig3)^($A90-Param.SonstigRegelmJahrBeginn3))</f>
        <v>0</v>
      </c>
      <c r="G90" s="40">
        <f aca="1">IF(OR($A90&lt;Param.SonstigRegelmJahrBeginn4,$A90&gt;Param.SonstigRegelmJahrEnd4),0,Param.SonstigRegelmBetragJaehrl4*(1+Param.SonstigRegelmSteig4)^($A90-Param.SonstigRegelmJahrBeginn4))</f>
        <v>0</v>
      </c>
      <c r="H90" s="40">
        <f aca="1">IF(OR($A90&lt;Param.SonstigRegelmJahrBeginn5,$A90&gt;Param.SonstigRegelmJahrEnd5),0,Param.SonstigRegelmBetragJaehrl5*(1+Param.SonstigRegelmSteig5)^($A90-Param.SonstigRegelmJahrBeginn5))</f>
        <v>0</v>
      </c>
      <c r="I90" s="40">
        <f aca="1">IF(OR($A90&lt;Param.SonstigRegelmJahrBeginn6,$A90&gt;Param.SonstigRegelmJahrEnd6),0,Param.SonstigRegelmBetragJaehrl6*(1+Param.SonstigRegelmSteig6)^($A90-Param.SonstigRegelmJahrBeginn6))</f>
        <v>0</v>
      </c>
      <c r="J90" s="40">
        <f aca="1">IF(OR($A90&lt;Param.SonstigRegelmJahrBeginn7,$A90&gt;Param.SonstigRegelmJahrEnd7),0,Param.SonstigRegelmBetragJaehrl7*(1+Param.SonstigRegelmSteig7)^($A90-Param.SonstigRegelmJahrBeginn7))</f>
        <v>0</v>
      </c>
      <c r="K90" s="40">
        <f aca="1">IF(OR($A90&lt;Param.SonstigRegelmJahrBeginn8,$A90&gt;Param.SonstigRegelmJahrEnd8),0,Param.SonstigRegelmBetragJaehrl8*(1+Param.SonstigRegelmSteig8)^($A90-Param.SonstigRegelmJahrBeginn8))</f>
        <v>0</v>
      </c>
      <c r="L90" s="40">
        <f aca="1">IF(OR($A90&lt;Param.SonstigRegelmJahrBeginn9,$A90&gt;Param.SonstigRegelmJahrEnd9),0,Param.SonstigRegelmBetragJaehrl9*(1+Param.SonstigRegelmSteig9)^($A90-Param.SonstigRegelmJahrBeginn9))</f>
        <v>0</v>
      </c>
      <c r="M90" s="40">
        <f aca="1">IF(OR($A90&lt;Param.SonstigRegelmJahrBeginn10,$A90&gt;Param.SonstigRegelmJahrEnd10),0,Param.SonstigRegelmBetragJaehrl10*(1+Param.SonstigRegelmSteig10)^($A90-Param.SonstigRegelmJahrBeginn10))</f>
        <v>0</v>
      </c>
      <c r="N90" s="10">
        <f>MAX(0,C90-SUM(D90:M90))</f>
        <v>215688.857761933497</v>
      </c>
      <c r="O90" s="10">
        <f>IF(N90&lt;=0,SUM(D90:M90)-C90,0)</f>
        <v>0</v>
      </c>
      <c r="P90" s="10">
        <f>S90+AP90</f>
        <v>-87562.8510491460038</v>
      </c>
      <c r="Q90" s="11">
        <f>IF(P90&gt;0,S90/P90,0)</f>
        <v>0</v>
      </c>
      <c r="R90" s="11">
        <f>IF(P90&gt;0,AP90/P90,0)</f>
        <v>0</v>
      </c>
      <c r="S90" s="10">
        <f>AL89</f>
        <v>-87562.8510491460183</v>
      </c>
      <c r="T90" s="40">
        <f>AM89</f>
        <v>-87007.7231016136066</v>
      </c>
      <c r="U90" s="40">
        <f aca="1">IF(A90&lt;Param.FireStartjahr,Param.SparrateDepotMonatl*12*(1+Param.SparrateDynamikJaehrl)^($A90-Param.Startjahr),0)</f>
        <v>0</v>
      </c>
      <c r="V90" s="40">
        <f aca="1">IF(AND(Param.SonstigEinmaligKonto1="Depot",$A90=Param.SonstigEinmaligJahr1),Param.SonstigEinmaligBetrag1,0)</f>
        <v>0</v>
      </c>
      <c r="W90" s="40">
        <f aca="1">IF(AND(Param.SonstigEinmaligKonto2="Depot",$A90=Param.SonstigEinmaligJahr2),Param.SonstigEinmaligBetrag2,0)</f>
        <v>0</v>
      </c>
      <c r="X90" s="40">
        <f aca="1">IF(AND(Param.SonstigEinmaligKonto3="Depot",$A90=Param.SonstigEinmaligJahr3),Param.SonstigEinmaligBetrag3,0)</f>
        <v>0</v>
      </c>
      <c r="Y90" s="40">
        <f aca="1">IF(AND(Param.SonstigEinmaligKonto4="Depot",$A90=Param.SonstigEinmaligJahr4),Param.SonstigEinmaligBetrag4,0)</f>
        <v>0</v>
      </c>
      <c r="Z90" s="40">
        <f aca="1">IF(AND(Param.SonstigEinmaligKonto5="Depot",$A90=Param.SonstigEinmaligJahr5),Param.SonstigEinmaligBetrag5,0)</f>
        <v>0</v>
      </c>
      <c r="AA90" s="40">
        <f aca="1">IF(AND(Param.SonstigEinmaligKonto6="Depot",$A90=Param.SonstigEinmaligJahr6),Param.SonstigEinmaligBetrag6,0)</f>
        <v>0</v>
      </c>
      <c r="AB90" s="40">
        <f aca="1">IF(AND(Param.SonstigEinmaligKonto7="Depot",$A90=Param.SonstigEinmaligJahr7),Param.SonstigEinmaligBetrag7,0)</f>
        <v>0</v>
      </c>
      <c r="AC90" s="40">
        <f aca="1">IF(AND(Param.SonstigEinmaligKonto8="Depot",$A90=Param.SonstigEinmaligJahr8),Param.SonstigEinmaligBetrag8,0)</f>
        <v>0</v>
      </c>
      <c r="AD90" s="40">
        <f aca="1">IF(AND(Param.SonstigEinmaligKonto9="Depot",$A90=Param.SonstigEinmaligJahr9),Param.SonstigEinmaligBetrag9,0)</f>
        <v>0</v>
      </c>
      <c r="AE90" s="40">
        <f aca="1">IF(AND(Param.SonstigEinmaligKonto10="Depot",$A90=Param.SonstigEinmaligJahr10),Param.SonstigEinmaligBetrag10,0)</f>
        <v>0</v>
      </c>
      <c r="AF90" s="40">
        <f aca="1">Param.SparerPauschbetrag-BF90</f>
        <v>1000</v>
      </c>
      <c r="AG90" s="40">
        <f aca="1">IF(AND(A90&gt;=Param.FireStartjahr,S90&gt;0),MIN(N90*Q90,S90),0)</f>
        <v>0</v>
      </c>
      <c r="AH90" s="40">
        <f aca="1">IF(AG90&lt;=0,0,IF(S90&lt;=0,0,AG90/(1-MAX(0,((T90/S90)*(1-Param.Teilfreistellung)-MIN(AF90,AG90)/AG90)*Param.KapSt))))</f>
        <v>0</v>
      </c>
      <c r="AI90" s="40">
        <f>AH90-AG90</f>
        <v>0</v>
      </c>
      <c r="AJ90" s="40">
        <f>T90-AH90*(T90/S90)</f>
        <v>-87007.7231016136066</v>
      </c>
      <c r="AK90" s="40">
        <f>S90-AH90</f>
        <v>-87562.8510491460038</v>
      </c>
      <c r="AL90" s="40">
        <f>FV(AO90,12,-(U90/12),-AK90,0)</f>
        <v>-92816.6221120913251</v>
      </c>
      <c r="AM90" s="40">
        <f>AJ90+AL90-AK90-U90</f>
        <v>-92261.4941645590006</v>
      </c>
      <c r="AN90" s="5">
        <f>AM90/AL90</f>
        <v>0.994019089093094976</v>
      </c>
      <c r="AO90" s="5">
        <f aca="1">(1+IF(AND(A90&gt;=Param.DepotRenditeSpezBeginn1,A90&lt;=Param.DepotRenditeSpezEnde1),Param.DepotRenditeSpezProz1,IF(AND(A90&gt;=Param.DepotRenditeSpezBeginn2,A90&lt;=Param.DepotRenditeSpezEnde2),Param.DepotRenditeSpezProz2,IF(AND(A90&gt;=Param.DepotRenditeSpezBeginn3,A90&lt;=Param.DepotRenditeSpezEnde3),Param.DepotRenditeSpezProz3,IF(AND(A90&gt;=Param.DepotRenditeSpezBeginn4,A90&lt;=Param.DepotRenditeSpezEnde4),Param.DepotRenditeSpezProz4,IF(AND(A90&gt;=Param.DepotRenditeSpezBeginn5,A90&lt;=Param.DepotRenditeSpezEnde5),Param.DepotRenditeSpezProz5,Param.DepotRenditeDefault))))))^(1/12)-1</f>
        <v>0.00486755056533993979</v>
      </c>
      <c r="AP90" s="40">
        <f>BJ89</f>
        <v>0</v>
      </c>
      <c r="AQ90" s="40">
        <f aca="1">IF(A90&lt;Param.FireStartjahr,Param.SparrateFestgeldMonatl*12*(1+Param.SparrateDynamikJaehrl)^($A90-Param.Startjahr),0)</f>
        <v>0</v>
      </c>
      <c r="AR90" s="40">
        <f>O90</f>
        <v>0</v>
      </c>
      <c r="AS90" s="40">
        <f aca="1">IF(AND(Param.SonstigEinmaligKonto1="Festgeld",$A90=Param.SonstigEinmaligJahr1),Param.SonstigEinmaligBetrag1,0)</f>
        <v>0</v>
      </c>
      <c r="AT90" s="40">
        <f aca="1">IF(AND(Param.SonstigEinmaligKonto2="Festgeld",$A90=Param.SonstigEinmaligJahr2),Param.SonstigEinmaligBetrag2,0)</f>
        <v>0</v>
      </c>
      <c r="AU90" s="40">
        <f aca="1">IF(AND(Param.SonstigEinmaligKonto3="Festgeld",$A90=Param.SonstigEinmaligJahr3),Param.SonstigEinmaligBetrag3,0)</f>
        <v>0</v>
      </c>
      <c r="AV90" s="40">
        <f aca="1">IF(AND(Param.SonstigEinmaligKonto4="Festgeld",$A90=Param.SonstigEinmaligJahr4),Param.SonstigEinmaligBetrag4,0)</f>
        <v>0</v>
      </c>
      <c r="AW90" s="40">
        <f aca="1">IF(AND(Param.SonstigEinmaligKonto5="Festgeld",$A90=Param.SonstigEinmaligJahr5),Param.SonstigEinmaligBetrag5,0)</f>
        <v>0</v>
      </c>
      <c r="AX90" s="40">
        <f aca="1">IF(AND(Param.SonstigEinmaligKonto6="Festgeld",$A90=Param.SonstigEinmaligJahr6),Param.SonstigEinmaligBetrag6,0)</f>
        <v>0</v>
      </c>
      <c r="AY90" s="40">
        <f aca="1">IF(AND(Param.SonstigEinmaligKonto7="Festgeld",$A90=Param.SonstigEinmaligJahr7),Param.SonstigEinmaligBetrag7,0)</f>
        <v>0</v>
      </c>
      <c r="AZ90" s="40">
        <f aca="1">IF(AND(Param.SonstigEinmaligKonto8="Festgeld",$A90=Param.SonstigEinmaligJahr8),Param.SonstigEinmaligBetrag8,0)</f>
        <v>0</v>
      </c>
      <c r="BA90" s="40">
        <f aca="1">IF(AND(Param.SonstigEinmaligKonto9="Festgeld",$A90=Param.SonstigEinmaligJahr9),Param.SonstigEinmaligBetrag9,0)</f>
        <v>0</v>
      </c>
      <c r="BB90" s="40">
        <f aca="1">IF(AND(Param.SonstigEinmaligKonto10="Festgeld",$A90=Param.SonstigEinmaligJahr10),Param.SonstigEinmaligBetrag10,0)</f>
        <v>0</v>
      </c>
      <c r="BC90" s="40">
        <f aca="1">IF(AND(A90&gt;=Param.FireStartjahr,AP90&gt;0),MIN(N90*R90,AP90),0)</f>
        <v>0</v>
      </c>
      <c r="BD90" s="5">
        <f aca="1">Param.FestgeldZinssatz</f>
        <v>0.02</v>
      </c>
      <c r="BE90" s="40">
        <f>(AP90+AQ90-BC90)*BD90</f>
        <v>0</v>
      </c>
      <c r="BF90" s="40">
        <f aca="1">IF(BE90&gt;Param.SparerPauschbetrag,Param.SparerPauschbetrag,BE90)</f>
        <v>0</v>
      </c>
      <c r="BG90" s="40">
        <f>BE90-BF90</f>
        <v>0</v>
      </c>
      <c r="BH90" s="40">
        <f aca="1">BG90*Param.KapSt</f>
        <v>0</v>
      </c>
      <c r="BI90" s="40">
        <f>BE90-BH90</f>
        <v>0</v>
      </c>
      <c r="BJ90" s="63">
        <f>AP90+SUM(AQ90:BB90)-BC90+BI90</f>
        <v>0</v>
      </c>
      <c r="BK90" s="40">
        <f>AL90+BJ90</f>
        <v>-92816.622112091296</v>
      </c>
      <c r="BL90" s="40">
        <f aca="1">BK90/(1+Param.Inflationsrate)^(A90-Param.Startjahr)</f>
        <v>-11378.8193004485347</v>
      </c>
      <c r="BM90" s="52">
        <f>IF(BK90&lt;N90,A90,"")</f>
        <v>2111</v>
      </c>
      <c r="BN90" s="40">
        <f>AH90+BC90</f>
        <v>0</v>
      </c>
      <c r="BO90" s="40">
        <f>SUM(AR90:BB90)</f>
        <v>0</v>
      </c>
      <c r="BP90" s="40">
        <f>BN90+(-1*BO90)</f>
        <v>0</v>
      </c>
      <c r="BQ90" s="40">
        <f>AI90+BH90</f>
        <v>0</v>
      </c>
      <c r="BR90" s="5">
        <f>IF(BK90&gt;0,BP90/BK90,0)</f>
        <v>0</v>
      </c>
    </row>
  </sheetData>
  <mergeCells count="6">
    <mergeCell ref="D2:M2"/>
    <mergeCell ref="S2:AO2"/>
    <mergeCell ref="AP2:BJ2"/>
    <mergeCell ref="P3:R3"/>
    <mergeCell ref="V3:AE3"/>
    <mergeCell ref="AS3:BB3"/>
  </mergeCells>
  <conditionalFormatting sqref="AO5:AO90">
    <cfRule type="cellIs" dxfId="5" priority="1" operator="lessThan">
      <formula>0</formula>
    </cfRule>
  </conditionalFormatting>
  <conditionalFormatting sqref="AO5:AO90">
    <cfRule type="cellIs" dxfId="6" priority="2" operator="notEqual">
      <formula>(1+Param.DepotRenditeDefault)^(1/12)-1</formula>
    </cfRule>
  </conditionalFormatting>
  <printOptions>
    <extLst>
      <ext uri="smNativeData">
        <pm:pageFlags xmlns:pm="smNativeData" id="1783262951" printRowHead="0" printColHead="0" printHeadLine="0" printFootLine="0" autoHeightHeader="0" autoHeightFooter="0" fitToPageBoth="0"/>
      </ext>
    </extLst>
  </printOptions>
  <pageMargins left="0.000000" right="0.000000" top="0.000000" bottom="0.000000" header="0.393750" footer="0.393750"/>
  <pageSetup paperSize="9" fitToWidth="0" fitToHeight="1" pageOrder="overThenDown"/>
  <headerFooter>
    <extLst>
      <ext uri="smNativeData">
        <pm:header xmlns:pm="smNativeData" id="1783262951" l="56" r="56" t="56" b="56" borderId="0" fillId="0" vertical="0"/>
        <pm:footer xmlns:pm="smNativeData" id="1783262951" l="56" r="56" t="56" b="56" borderId="0" fillId="0" vertical="2"/>
        <pm:paperBin xmlns:pm="smNativeData" id="1783262951" Id="0" type="0" value="0"/>
        <pm:paperBin xmlns:pm="smNativeData" id="1783262951" Id="1" type="0" value="0"/>
      </ext>
    </extLst>
  </headerFooter>
  <legacyDrawing r:id="rId2"/>
  <extLst>
    <ext uri="smNativeData">
      <pm:sheetPrefs xmlns:pm="smNativeData" day="1783262951" outlineProtect="1" showHorizontalRuler="1" showVerticalRuler="1" showAltShade="0">
        <pm:shade id="0" type="0" fgLvl="100" fgClr="000000" bgLvl="100" bgClr="FFFFFF"/>
        <pm:shade id="1" type="0" fgLvl="100" fgClr="000000" bgLvl="100" bgClr="FFFFFF"/>
      </pm:sheetPrefs>
    </ext>
  </extLst>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autoPageBreaks="0"/>
  </sheetPr>
  <dimension ref="B3:C9"/>
  <sheetViews>
    <sheetView showGridLines="0" view="normal" workbookViewId="0">
      <selection activeCell="A1" sqref="A1"/>
    </sheetView>
  </sheetViews>
  <sheetFormatPr baseColWidth="9" defaultColWidth="10.000000" defaultRowHeight="13.45"/>
  <cols>
    <col min="3" max="3" width="100.171171" customWidth="1"/>
  </cols>
  <sheetData>
    <row r="3" spans="2:3">
      <c r="B3" s="108" t="s">
        <v>151</v>
      </c>
      <c r="C3" s="108" t="s">
        <v>152</v>
      </c>
    </row>
    <row r="4" spans="2:3">
      <c r="B4" s="113" t="s">
        <v>1</v>
      </c>
      <c r="C4" s="39" t="s">
        <v>153</v>
      </c>
    </row>
    <row r="5" spans="2:3">
      <c r="B5" s="109"/>
      <c r="C5" s="110"/>
    </row>
    <row r="6" spans="2:3">
      <c r="B6" s="109"/>
      <c r="C6" s="110"/>
    </row>
    <row r="7" spans="2:3">
      <c r="B7" s="109"/>
      <c r="C7" s="110"/>
    </row>
    <row r="8" spans="2:3">
      <c r="B8" s="109"/>
      <c r="C8" s="110"/>
    </row>
    <row r="9" spans="2:3">
      <c r="B9" s="109"/>
      <c r="C9" s="110"/>
    </row>
  </sheetData>
  <printOptions>
    <extLst>
      <ext uri="smNativeData">
        <pm:pageFlags xmlns:pm="smNativeData" id="1783262951" printRowHead="0" printColHead="0" printHeadLine="0" printFootLine="0" autoHeightHeader="0" autoHeightFooter="0" fitToPageBoth="0"/>
      </ext>
    </extLst>
  </printOptions>
  <pageMargins left="0.787500" right="0.787500" top="0.787500" bottom="0.787500" header="0.393750" footer="0.393750"/>
  <pageSetup paperSize="9" fitToWidth="0" fitToHeight="1" pageOrder="overThenDown"/>
  <headerFooter>
    <extLst>
      <ext uri="smNativeData">
        <pm:header xmlns:pm="smNativeData" id="1783262951" l="56" r="56" t="56" b="56" borderId="0" fillId="0" vertical="0"/>
        <pm:footer xmlns:pm="smNativeData" id="1783262951" l="56" r="56" t="56" b="56" borderId="0" fillId="0" vertical="2"/>
        <pm:paperBin xmlns:pm="smNativeData" id="1783262951" Id="0" type="0" value="0"/>
        <pm:paperBin xmlns:pm="smNativeData" id="1783262951" Id="1" type="0" value="0"/>
      </ext>
    </extLst>
  </headerFooter>
  <extLst>
    <ext uri="smNativeData">
      <pm:sheetPrefs xmlns:pm="smNativeData" day="1783262951"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NoAdmin-HP</cp:lastModifiedBy>
  <cp:revision>0</cp:revision>
  <dcterms:created xsi:type="dcterms:W3CDTF">2026-02-14T16:51:50Z</dcterms:created>
  <dcterms:modified xsi:type="dcterms:W3CDTF">2026-07-05T14:49:11Z</dcterms:modified>
</cp:coreProperties>
</file>